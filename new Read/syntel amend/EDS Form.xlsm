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updateLinks="never" codeName="ThisWorkbook" defaultThemeVersion="124226"/>
  <mc:AlternateContent xmlns:mc="http://schemas.openxmlformats.org/markup-compatibility/2006">
    <mc:Choice Requires="x15">
      <x15ac:absPath xmlns:x15ac="http://schemas.microsoft.com/office/spreadsheetml/2010/11/ac" url="https://atos365-my.sharepoint.com/personal/pratap_visrodia_atos_net/Documents/Blue_Shield_of_California/Desktop/"/>
    </mc:Choice>
  </mc:AlternateContent>
  <xr:revisionPtr revIDLastSave="1" documentId="8_{85785F2F-4D1D-417A-BDEA-7BF69D7340EF}" xr6:coauthVersionLast="47" xr6:coauthVersionMax="47" xr10:uidLastSave="{A4657785-74A7-43B6-8052-057B1992BAF4}"/>
  <bookViews>
    <workbookView xWindow="-110" yWindow="-110" windowWidth="19420" windowHeight="10420" tabRatio="648" firstSheet="1" activeTab="3" xr2:uid="{00000000-000D-0000-FFFF-FFFF00000000}"/>
  </bookViews>
  <sheets>
    <sheet name="Process and FAQ (2)" sheetId="13" state="hidden" r:id="rId1"/>
    <sheet name="Process and FAQ" sheetId="8" r:id="rId2"/>
    <sheet name="1. Employee - Personal  Data" sheetId="1" r:id="rId3"/>
    <sheet name="2. Business - Project details" sheetId="2" r:id="rId4"/>
    <sheet name="3. Travel Notification " sheetId="10" r:id="rId5"/>
    <sheet name="Version Control" sheetId="15" state="hidden" r:id="rId6"/>
    <sheet name="Final List" sheetId="11" state="hidden" r:id="rId7"/>
    <sheet name="Menus " sheetId="4" state="hidden" r:id="rId8"/>
    <sheet name="Indian Payroll Data" sheetId="7" state="hidden" r:id="rId9"/>
    <sheet name="PBS &amp; CP input " sheetId="9" state="hidden" r:id="rId10"/>
    <sheet name="For US ONLY" sheetId="14" r:id="rId11"/>
    <sheet name="Sheet1" sheetId="12" state="hidden" r:id="rId12"/>
  </sheets>
  <externalReferences>
    <externalReference r:id="rId13"/>
    <externalReference r:id="rId14"/>
  </externalReferences>
  <definedNames>
    <definedName name="_xlnm._FilterDatabase" localSheetId="11" hidden="1">Sheet1!$A$2:$H$377</definedName>
    <definedName name="k" localSheetId="7">'Menus '!#REF!</definedName>
    <definedName name="m" localSheetId="7">'Menus '!#REF!</definedName>
    <definedName name="n" localSheetId="7">'Menus '!#REF!</definedName>
    <definedName name="o" localSheetId="7">'Menus '!#REF!</definedName>
    <definedName name="p" localSheetId="7">'Menus '!#REF!</definedName>
    <definedName name="_xlnm.Print_Area" localSheetId="2">'1. Employee - Personal  Data'!$A$1:$E$63</definedName>
    <definedName name="_xlnm.Print_Area" localSheetId="3">'2. Business - Project details'!$A$1:$E$72</definedName>
    <definedName name="_xlnm.Print_Area" localSheetId="4">'3. Travel Notification '!$A$1:$D$66</definedName>
    <definedName name="q" localSheetId="7">'Menus '!#REF!</definedName>
    <definedName name="s" localSheetId="7">'Menus '!#REF!</definedName>
    <definedName name="t" localSheetId="7">'Menus '!#REF!</definedName>
    <definedName name="u" localSheetId="7">'Menus '!#REF!</definedName>
    <definedName name="v" localSheetId="7">'Menus '!#REF!</definedName>
    <definedName name="y" localSheetId="7">'Menus '!#REF!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4" i="14" l="1"/>
  <c r="A32" i="14"/>
  <c r="A30" i="14"/>
  <c r="A28" i="14"/>
  <c r="A26" i="14"/>
  <c r="B23" i="14"/>
  <c r="B22" i="14"/>
  <c r="B21" i="14"/>
  <c r="B20" i="14"/>
  <c r="B19" i="14"/>
  <c r="B18" i="14"/>
  <c r="B17" i="14"/>
  <c r="B16" i="14"/>
  <c r="C13" i="14"/>
  <c r="B13" i="14"/>
  <c r="A13" i="14"/>
  <c r="C11" i="14"/>
  <c r="B11" i="14"/>
  <c r="A11" i="14"/>
  <c r="C9" i="14"/>
  <c r="B9" i="14"/>
  <c r="A9" i="14"/>
  <c r="B62" i="9"/>
  <c r="B58" i="9"/>
  <c r="B31" i="9"/>
  <c r="B30" i="9"/>
  <c r="B29" i="9"/>
  <c r="B20" i="9"/>
  <c r="B19" i="9"/>
  <c r="B18" i="9"/>
  <c r="B16" i="9"/>
  <c r="B15" i="9"/>
  <c r="B13" i="9"/>
  <c r="B12" i="9"/>
  <c r="B11" i="9"/>
  <c r="B10" i="9"/>
  <c r="B9" i="9"/>
  <c r="B8" i="9"/>
  <c r="D66" i="7"/>
  <c r="C63" i="7"/>
  <c r="C48" i="7"/>
  <c r="D27" i="7"/>
  <c r="D26" i="7"/>
  <c r="D28" i="7" s="1"/>
  <c r="D23" i="7"/>
  <c r="D22" i="7"/>
  <c r="D24" i="7" s="1"/>
  <c r="D18" i="7"/>
  <c r="D44" i="7" s="1"/>
  <c r="D52" i="7" s="1"/>
  <c r="C18" i="7"/>
  <c r="C30" i="7" s="1"/>
  <c r="C36" i="7" s="1"/>
  <c r="D17" i="7"/>
  <c r="D16" i="7"/>
  <c r="D15" i="7"/>
  <c r="D14" i="7"/>
  <c r="D13" i="7"/>
  <c r="D12" i="7"/>
  <c r="D11" i="7"/>
  <c r="D10" i="7"/>
  <c r="D8" i="7"/>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4" i="11"/>
  <c r="A3" i="11"/>
  <c r="A2" i="11"/>
  <c r="C57" i="10"/>
  <c r="B57" i="10"/>
  <c r="C56" i="10"/>
  <c r="B56" i="10"/>
  <c r="C55" i="10"/>
  <c r="B55" i="10"/>
  <c r="C54" i="10"/>
  <c r="B54" i="10"/>
  <c r="B50" i="10"/>
  <c r="A50" i="10"/>
  <c r="B49" i="10"/>
  <c r="A49" i="10"/>
  <c r="B48" i="10"/>
  <c r="A48" i="10"/>
  <c r="B45" i="10"/>
  <c r="B44" i="10"/>
  <c r="B43" i="10"/>
  <c r="B42" i="10"/>
  <c r="B38" i="10"/>
  <c r="B37" i="10"/>
  <c r="B36" i="10"/>
  <c r="B35" i="10"/>
  <c r="B34" i="10"/>
  <c r="B33" i="10"/>
  <c r="B32" i="10"/>
  <c r="B30" i="10"/>
  <c r="B29" i="10"/>
  <c r="B28" i="10"/>
  <c r="B27" i="10"/>
  <c r="B24" i="10"/>
  <c r="B23" i="10"/>
  <c r="B22" i="10"/>
  <c r="B21" i="10"/>
  <c r="B20" i="10"/>
  <c r="B17" i="10"/>
  <c r="D11" i="10"/>
  <c r="B11" i="10"/>
  <c r="D10" i="10"/>
  <c r="A10" i="10"/>
  <c r="B8" i="10"/>
  <c r="B15" i="2"/>
  <c r="D11" i="2"/>
  <c r="C11" i="2"/>
  <c r="B11" i="2"/>
  <c r="D9" i="2"/>
  <c r="A6" i="2"/>
  <c r="D9" i="1"/>
  <c r="B9" i="1"/>
  <c r="F8" i="1"/>
  <c r="E8" i="1"/>
  <c r="C10" i="10" s="1"/>
  <c r="C8" i="1"/>
  <c r="C9" i="2" s="1"/>
  <c r="B8" i="1"/>
  <c r="B10" i="10" s="1"/>
  <c r="A8" i="1"/>
  <c r="A9" i="2" s="1"/>
  <c r="D71" i="7" l="1"/>
  <c r="D59" i="7"/>
  <c r="D30" i="7"/>
  <c r="D36" i="7" s="1"/>
  <c r="D40" i="7" s="1"/>
  <c r="B9" i="2"/>
  <c r="D76" i="7" l="1"/>
  <c r="D75" i="7"/>
  <c r="D74" i="7"/>
  <c r="D78" i="7" s="1"/>
  <c r="D79"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Jain, Nirjhar (ext)</author>
  </authors>
  <commentList>
    <comment ref="B19" authorId="0" shapeId="0" xr:uid="{00000000-0006-0000-0300-000001000000}">
      <text>
        <r>
          <rPr>
            <b/>
            <sz val="9"/>
            <color indexed="81"/>
            <rFont val="Tahoma"/>
            <family val="2"/>
          </rPr>
          <t>Please mention NA in case of no client.</t>
        </r>
      </text>
    </comment>
    <comment ref="B20" authorId="0" shapeId="0" xr:uid="{00000000-0006-0000-0300-000002000000}">
      <text>
        <r>
          <rPr>
            <b/>
            <sz val="9"/>
            <color indexed="81"/>
            <rFont val="Tahoma"/>
            <family val="2"/>
          </rPr>
          <t>Please mention NA in case of no client.</t>
        </r>
      </text>
    </comment>
    <comment ref="B36" authorId="0" shapeId="0" xr:uid="{00000000-0006-0000-0300-000003000000}">
      <text>
        <r>
          <rPr>
            <b/>
            <sz val="9"/>
            <color indexed="81"/>
            <rFont val="Tahoma"/>
            <family val="2"/>
          </rPr>
          <t>Name</t>
        </r>
        <r>
          <rPr>
            <sz val="9"/>
            <color indexed="81"/>
            <rFont val="Tahoma"/>
            <family val="2"/>
          </rPr>
          <t xml:space="preserve">
</t>
        </r>
      </text>
    </comment>
    <comment ref="C36" authorId="0" shapeId="0" xr:uid="{00000000-0006-0000-0300-000004000000}">
      <text>
        <r>
          <rPr>
            <b/>
            <sz val="9"/>
            <color indexed="81"/>
            <rFont val="Tahoma"/>
            <family val="2"/>
          </rPr>
          <t>Jain, Nirjhar (ext):</t>
        </r>
        <r>
          <rPr>
            <sz val="9"/>
            <color indexed="81"/>
            <rFont val="Tahoma"/>
            <family val="2"/>
          </rPr>
          <t xml:space="preserve">
Mail ID</t>
        </r>
      </text>
    </comment>
    <comment ref="D36" authorId="0" shapeId="0" xr:uid="{00000000-0006-0000-0300-000005000000}">
      <text>
        <r>
          <rPr>
            <b/>
            <sz val="9"/>
            <color indexed="81"/>
            <rFont val="Tahoma"/>
            <family val="2"/>
          </rPr>
          <t>Professional contact Number</t>
        </r>
        <r>
          <rPr>
            <sz val="9"/>
            <color indexed="81"/>
            <rFont val="Tahoma"/>
            <family val="2"/>
          </rPr>
          <t xml:space="preserve">
</t>
        </r>
      </text>
    </comment>
    <comment ref="B37" authorId="0" shapeId="0" xr:uid="{00000000-0006-0000-0300-000006000000}">
      <text>
        <r>
          <rPr>
            <sz val="9"/>
            <color indexed="81"/>
            <rFont val="Tahoma"/>
            <family val="2"/>
          </rPr>
          <t xml:space="preserve">Name
</t>
        </r>
      </text>
    </comment>
    <comment ref="C37" authorId="0" shapeId="0" xr:uid="{00000000-0006-0000-0300-000007000000}">
      <text>
        <r>
          <rPr>
            <b/>
            <sz val="9"/>
            <color indexed="81"/>
            <rFont val="Tahoma"/>
            <family val="2"/>
          </rPr>
          <t>Jain, Nirjhar (ext):</t>
        </r>
        <r>
          <rPr>
            <sz val="9"/>
            <color indexed="81"/>
            <rFont val="Tahoma"/>
            <family val="2"/>
          </rPr>
          <t xml:space="preserve">
Mail ID</t>
        </r>
      </text>
    </comment>
    <comment ref="D37" authorId="0" shapeId="0" xr:uid="{00000000-0006-0000-0300-000008000000}">
      <text>
        <r>
          <rPr>
            <b/>
            <sz val="9"/>
            <color indexed="81"/>
            <rFont val="Tahoma"/>
            <family val="2"/>
          </rPr>
          <t>Professional contact Number</t>
        </r>
      </text>
    </comment>
    <comment ref="B38" authorId="0" shapeId="0" xr:uid="{00000000-0006-0000-0300-000009000000}">
      <text>
        <r>
          <rPr>
            <b/>
            <sz val="9"/>
            <color indexed="81"/>
            <rFont val="Tahoma"/>
            <family val="2"/>
          </rPr>
          <t>Name</t>
        </r>
        <r>
          <rPr>
            <sz val="9"/>
            <color indexed="81"/>
            <rFont val="Tahoma"/>
            <family val="2"/>
          </rPr>
          <t xml:space="preserve">
</t>
        </r>
      </text>
    </comment>
    <comment ref="C38" authorId="0" shapeId="0" xr:uid="{00000000-0006-0000-0300-00000A000000}">
      <text>
        <r>
          <rPr>
            <b/>
            <sz val="9"/>
            <color indexed="81"/>
            <rFont val="Tahoma"/>
            <family val="2"/>
          </rPr>
          <t>Mail ID</t>
        </r>
        <r>
          <rPr>
            <sz val="9"/>
            <color indexed="81"/>
            <rFont val="Tahoma"/>
            <family val="2"/>
          </rPr>
          <t xml:space="preserve">
</t>
        </r>
      </text>
    </comment>
    <comment ref="D38" authorId="0" shapeId="0" xr:uid="{00000000-0006-0000-0300-00000B000000}">
      <text>
        <r>
          <rPr>
            <b/>
            <sz val="9"/>
            <color indexed="81"/>
            <rFont val="Tahoma"/>
            <family val="2"/>
          </rPr>
          <t>Professional contact Number</t>
        </r>
      </text>
    </comment>
    <comment ref="B55" authorId="0" shapeId="0" xr:uid="{00000000-0006-0000-0300-00000C000000}">
      <text>
        <r>
          <rPr>
            <sz val="9"/>
            <color indexed="81"/>
            <rFont val="Tahoma"/>
            <family val="2"/>
          </rPr>
          <t>Spouse</t>
        </r>
      </text>
    </comment>
    <comment ref="C55" authorId="0" shapeId="0" xr:uid="{00000000-0006-0000-0300-00000D000000}">
      <text>
        <r>
          <rPr>
            <sz val="9"/>
            <color indexed="81"/>
            <rFont val="Tahoma"/>
            <family val="2"/>
          </rPr>
          <t>Child1</t>
        </r>
      </text>
    </comment>
    <comment ref="D55" authorId="0" shapeId="0" xr:uid="{00000000-0006-0000-0300-00000E000000}">
      <text>
        <r>
          <rPr>
            <b/>
            <sz val="9"/>
            <color indexed="81"/>
            <rFont val="Tahoma"/>
            <family val="2"/>
          </rPr>
          <t>Jain, Nirjhar (ext):</t>
        </r>
        <r>
          <rPr>
            <sz val="9"/>
            <color indexed="81"/>
            <rFont val="Tahoma"/>
            <family val="2"/>
          </rPr>
          <t xml:space="preserve">
Child 2</t>
        </r>
      </text>
    </comment>
    <comment ref="B61" authorId="0" shapeId="0" xr:uid="{00000000-0006-0000-0300-00000F000000}">
      <text>
        <r>
          <rPr>
            <sz val="9"/>
            <color indexed="81"/>
            <rFont val="Tahoma"/>
            <family val="2"/>
          </rPr>
          <t>Name</t>
        </r>
      </text>
    </comment>
    <comment ref="B62" authorId="0" shapeId="0" xr:uid="{00000000-0006-0000-0300-000010000000}">
      <text>
        <r>
          <rPr>
            <b/>
            <sz val="9"/>
            <color indexed="81"/>
            <rFont val="Tahoma"/>
            <family val="2"/>
          </rPr>
          <t>Name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WALCZAK, EVELINA</author>
  </authors>
  <commentList>
    <comment ref="B44" authorId="0" shapeId="0" xr:uid="{00000000-0006-0000-0700-000001000000}">
      <text>
        <r>
          <rPr>
            <b/>
            <sz val="9"/>
            <color indexed="81"/>
            <rFont val="Tahoma"/>
            <family val="2"/>
          </rPr>
          <t>WALCZAK, EVELINA:</t>
        </r>
        <r>
          <rPr>
            <sz val="9"/>
            <color indexed="81"/>
            <rFont val="Tahoma"/>
            <family val="2"/>
          </rPr>
          <t xml:space="preserve">
this gross income is considered for hypothetical tax purposes.
</t>
        </r>
      </text>
    </comment>
  </commentList>
</comments>
</file>

<file path=xl/sharedStrings.xml><?xml version="1.0" encoding="utf-8"?>
<sst xmlns="http://schemas.openxmlformats.org/spreadsheetml/2006/main" count="2078" uniqueCount="1278">
  <si>
    <t>Instructions to fill the EDS Form - Assignment EDS for India</t>
  </si>
  <si>
    <t xml:space="preserve">Disclaimer : Upon receipt of the complete EDS, IM India assumes that Home  and Host Managers, Home and Host HRs and budget holder are aware and in agreement with this Assignment. </t>
  </si>
  <si>
    <t xml:space="preserve">1) Required documents : </t>
  </si>
  <si>
    <r>
      <t>Initiation requests for Assignments will be managed upon receipt of the EDS</t>
    </r>
    <r>
      <rPr>
        <b/>
        <sz val="11"/>
        <rFont val="Arial"/>
        <family val="2"/>
      </rPr>
      <t xml:space="preserve"> fully completed</t>
    </r>
    <r>
      <rPr>
        <sz val="11"/>
        <rFont val="Arial"/>
        <family val="2"/>
      </rPr>
      <t xml:space="preserve"> for :</t>
    </r>
  </si>
  <si>
    <t xml:space="preserve"> - Tab 1 : by the employee</t>
  </si>
  <si>
    <t xml:space="preserve"> - Tab 2 : by the Project Manager</t>
  </si>
  <si>
    <t xml:space="preserve">Once the EDS is filled out, and the WFM approval gathered, the EDS along with the written confirmation from WFM needs to be sent to International Mobility India. International Mobility India will initiate the assignment only upon receipt of the EDS and the written approval from WFM. </t>
  </si>
  <si>
    <r>
      <rPr>
        <i/>
        <u/>
        <sz val="11"/>
        <rFont val="Arial"/>
        <family val="2"/>
      </rPr>
      <t xml:space="preserve">NB </t>
    </r>
    <r>
      <rPr>
        <i/>
        <sz val="11"/>
        <rFont val="Arial"/>
        <family val="2"/>
      </rPr>
      <t xml:space="preserve">: If the traveller has more than </t>
    </r>
    <r>
      <rPr>
        <b/>
        <i/>
        <sz val="11"/>
        <rFont val="Arial"/>
        <family val="2"/>
      </rPr>
      <t>4 travels during the 12 preceeding months</t>
    </r>
    <r>
      <rPr>
        <i/>
        <sz val="11"/>
        <rFont val="Arial"/>
        <family val="2"/>
      </rPr>
      <t xml:space="preserve">, a separate spreadsheet specifying the travel details will need to be provided in addition. </t>
    </r>
  </si>
  <si>
    <t xml:space="preserve">Please ensure to provide the EDS completed as it includes key information mandatory to proceed with the initiation of the assignment by IM India. </t>
  </si>
  <si>
    <t>2) How to fill in the form</t>
  </si>
  <si>
    <t>Tab 1.Employee -Personal Data</t>
  </si>
  <si>
    <t>Title</t>
  </si>
  <si>
    <t>Instructions</t>
  </si>
  <si>
    <t xml:space="preserve">Employee's GCM code </t>
  </si>
  <si>
    <t>Employee's current GCM Level</t>
  </si>
  <si>
    <t>Family Name</t>
  </si>
  <si>
    <t>Last Name of Employee</t>
  </si>
  <si>
    <t>Assignee's home personal address</t>
  </si>
  <si>
    <t>Employee's current residential address</t>
  </si>
  <si>
    <t>Place of issue</t>
  </si>
  <si>
    <t>Place of passport issued</t>
  </si>
  <si>
    <t xml:space="preserve">Family status from a home country legal perpective? </t>
  </si>
  <si>
    <t>Current Status of your Spouse 
**Mandatory for determining the tax liability and for insurance purposes</t>
  </si>
  <si>
    <t>First name &amp; Family name of Spouse  ( as per passport)</t>
  </si>
  <si>
    <t>First name and last name of spouse as per passport</t>
  </si>
  <si>
    <t>Tab 2. Business - Project Details</t>
  </si>
  <si>
    <t>Expected start date (DD/MM/YY)</t>
  </si>
  <si>
    <t>Expected Assignment start date</t>
  </si>
  <si>
    <t>Expected end date (DD/MM/YY)*</t>
  </si>
  <si>
    <t>Expected Assignment end date</t>
  </si>
  <si>
    <t>Host country Atos legal entity name</t>
  </si>
  <si>
    <t>Select appropriate entity name from the drop down list</t>
  </si>
  <si>
    <t>Host employer name and address where assignee is going to work</t>
  </si>
  <si>
    <t>To be provided if employee are going to work from client premises. Also mention the correct client entity name</t>
  </si>
  <si>
    <t>Role/ Title during assignment/Travel</t>
  </si>
  <si>
    <t>Role/Designation in Host Country during assignment</t>
  </si>
  <si>
    <t>Name of Client and/or Project which the Employee will be working on.</t>
  </si>
  <si>
    <t>Name of the client and Project name in Host country</t>
  </si>
  <si>
    <t>Nature of activity in Host Country (i.e billable/not billable)</t>
  </si>
  <si>
    <t>Whether resource is billable to Host country/client</t>
  </si>
  <si>
    <t xml:space="preserve">Budget Holder name </t>
  </si>
  <si>
    <t>WFM team should provide this information</t>
  </si>
  <si>
    <t>Host country line Manager name if different</t>
  </si>
  <si>
    <t>Host Reporting Manager Name</t>
  </si>
  <si>
    <t>Host country Program Manager name  if different</t>
  </si>
  <si>
    <t>Host Project Manager Name</t>
  </si>
  <si>
    <t>Hiring Date with Home Country Employer</t>
  </si>
  <si>
    <t>Hiring Date with Atos India</t>
  </si>
  <si>
    <t>Hiring Date Atos Group</t>
  </si>
  <si>
    <t>First Hiring Date in Atos if employee was working for another entity prior hiring with Atos India</t>
  </si>
  <si>
    <t>Home City (where the Atos employer is located)</t>
  </si>
  <si>
    <t>Home country Base location of employee</t>
  </si>
  <si>
    <t>Home Country Line Manager name</t>
  </si>
  <si>
    <t>Home Reporting Manager Name</t>
  </si>
  <si>
    <t>Home Country Project  Manager (if different)</t>
  </si>
  <si>
    <t>Home Project Manager Name</t>
  </si>
  <si>
    <t>Tab 3. Travel Notification</t>
  </si>
  <si>
    <t>Updated expected start date (DD/MM/YY)</t>
  </si>
  <si>
    <t>Expected Date of Travel</t>
  </si>
  <si>
    <t>Updated Expected end date (DD/MM/YY)</t>
  </si>
  <si>
    <t>Expected Date of Return</t>
  </si>
  <si>
    <t xml:space="preserve">Once the EDS is filled out, and the WFM approval gathered, the EDS along with the written confirmation from WFM needs to be sent to International Mobility India. International Mobility India will initiate the assignment only upon receipt of the EDS and the written approval from WFM (Not Applicable for Business Trips). </t>
  </si>
  <si>
    <t>PERSONAL DATA -  TO BE COMPLETED BY THE EMPLOYEE</t>
  </si>
  <si>
    <t>PLEASE:</t>
  </si>
  <si>
    <t xml:space="preserve"> - COMPLETE ALL THE BLANK WHITE FIELDS </t>
  </si>
  <si>
    <t xml:space="preserve"> - The assignment will not be initiated until all the information is provided</t>
  </si>
  <si>
    <t>Country</t>
  </si>
  <si>
    <t>FIRST NAME</t>
  </si>
  <si>
    <t>SURNAME</t>
  </si>
  <si>
    <t xml:space="preserve">DAS number </t>
  </si>
  <si>
    <t>SALARY CODE</t>
  </si>
  <si>
    <t>Expected Start Date</t>
  </si>
  <si>
    <t>Expected End Date</t>
  </si>
  <si>
    <t>This initiation will not be processed if Tab 1 " Employee - Personal Data" and Tab 2 "Business - Project details" are not completed</t>
  </si>
  <si>
    <t>Tab 3 " Travel Notification" must be sent to " IndiaMobility@atos.net" when the employee is ready to travel</t>
  </si>
  <si>
    <t>1. ASSIGNEE PERSONAL DETAILS</t>
  </si>
  <si>
    <t xml:space="preserve">Please select from the drop down menu </t>
  </si>
  <si>
    <t>Employee DAS ID</t>
  </si>
  <si>
    <t>Employees's salary code</t>
  </si>
  <si>
    <t>Family name</t>
  </si>
  <si>
    <t>Middle name</t>
  </si>
  <si>
    <t>First name</t>
  </si>
  <si>
    <t>Date of birth (DD/MM/YY)</t>
  </si>
  <si>
    <t>City of Birth</t>
  </si>
  <si>
    <t>Gender (Male/ Female)</t>
  </si>
  <si>
    <t>Nationality(ies)</t>
  </si>
  <si>
    <t>Employee's Current Residential Address(Street, City, Zipcode, State)</t>
  </si>
  <si>
    <t>Preferred Phone Number (cell phone number)</t>
  </si>
  <si>
    <t>Assignees's personal Email ID</t>
  </si>
  <si>
    <t>PF Number (As Per Pay Slip)</t>
  </si>
  <si>
    <t>Does the Employee participate in Atos bonus plan?</t>
  </si>
  <si>
    <t>Passport number</t>
  </si>
  <si>
    <t>Passport issue date</t>
  </si>
  <si>
    <t>Passport expiry date</t>
  </si>
  <si>
    <t>Host countries and Visa type of previous travels of the last 12 preceeding months( if any)*</t>
  </si>
  <si>
    <t xml:space="preserve">Effective start date of previous travel </t>
  </si>
  <si>
    <t xml:space="preserve">Effective end date of previous travel </t>
  </si>
  <si>
    <t>* If you had more than four travels during the 12 preceeding months, please provide the missing information in a separate spreadsheet</t>
  </si>
  <si>
    <t>Has the employee been living abroad for more than 6 months within the last 5 years?</t>
  </si>
  <si>
    <t>Please select from the drop down menu</t>
  </si>
  <si>
    <t>Family Situation In Home Country</t>
  </si>
  <si>
    <t>Family Situation In Host Country</t>
  </si>
  <si>
    <t>2. DEPENDENTS DETAILS (If Travelling)</t>
  </si>
  <si>
    <t>Where will Spouse living during assignment?</t>
  </si>
  <si>
    <t xml:space="preserve">First name &amp; Family name of Spouse  ( as per passport)  </t>
  </si>
  <si>
    <t>Date of Birth (Spouse)</t>
  </si>
  <si>
    <t>Does Assignee have dependent children? If yes, please provide details below:</t>
  </si>
  <si>
    <t>First name &amp; Family name ( as per passport)</t>
  </si>
  <si>
    <t>Nationality &amp; Date of Birth</t>
  </si>
  <si>
    <t xml:space="preserve">Accompanying during assignment? </t>
  </si>
  <si>
    <t>Details</t>
  </si>
  <si>
    <t>Spouse</t>
  </si>
  <si>
    <t>Child 1</t>
  </si>
  <si>
    <t>Child 2</t>
  </si>
  <si>
    <t>FTR Number</t>
  </si>
  <si>
    <t>Passport Number</t>
  </si>
  <si>
    <t>Please send a scanned copy of the following documents to indiamobility@atos.net</t>
  </si>
  <si>
    <t>Additional comments</t>
  </si>
  <si>
    <t>3. Only For US</t>
  </si>
  <si>
    <t>Country of legal permanent residency:</t>
  </si>
  <si>
    <t>Country of most recent residency:</t>
  </si>
  <si>
    <t>Foreign institution/entity affiliation (if any):</t>
  </si>
  <si>
    <t>Has the beneficiary ever held residency in Cuba, North Korea, Syria, Iran or Sudan?</t>
  </si>
  <si>
    <t>PROJECT DETAILS  - TO BE COMPLETED BY THE BUSINESS</t>
  </si>
  <si>
    <t xml:space="preserve"> - ENABLE MACROS BEFORE COMPLETING</t>
  </si>
  <si>
    <t>1. HOST COUNTRY DATA</t>
  </si>
  <si>
    <t>Expected duration of stay</t>
  </si>
  <si>
    <t>Host Country where assignee is going to work</t>
  </si>
  <si>
    <t>Host Legal Entity name (If Other than Atos Entity) and Address.</t>
  </si>
  <si>
    <t>Name of Client which the Employee will be working on.</t>
  </si>
  <si>
    <t>Name of Project which the Employee will be working on.</t>
  </si>
  <si>
    <t>Is the assignee going to work in Atos or client premises</t>
  </si>
  <si>
    <t>Expenses related to this travel (i.e billable/not billable)</t>
  </si>
  <si>
    <t>Host City where assignee is going to work</t>
  </si>
  <si>
    <t>Host Branch</t>
  </si>
  <si>
    <t>Host state where assignee is going to work</t>
  </si>
  <si>
    <t>ZIP /PIN code</t>
  </si>
  <si>
    <t>Employee's Residential Address(Street, City, Zipcode, State)</t>
  </si>
  <si>
    <t>Purpose of the travel</t>
  </si>
  <si>
    <t>GCM Level During Assignment</t>
  </si>
  <si>
    <t>Detailed description of role and responsibilities ( at least 4 lines)</t>
  </si>
  <si>
    <t>Name</t>
  </si>
  <si>
    <t>Mail ID</t>
  </si>
  <si>
    <t>Contact Number</t>
  </si>
  <si>
    <t>Budget Holder Name / Mail ID / Professional Number</t>
  </si>
  <si>
    <t>Host country line Manager Name / Mail ID / Professional Number</t>
  </si>
  <si>
    <t>Host country Program Manager Name / Mail ID / Professional Number</t>
  </si>
  <si>
    <t>Name of Atos entity bearing the costs of this employee (salary plus mobility costs)</t>
  </si>
  <si>
    <t>Host Country Cost Centre during assignment (If Any)</t>
  </si>
  <si>
    <t>Is the Cost Center during assignment the Host Cost Center?</t>
  </si>
  <si>
    <t>Actual Cost Centre During Assignment</t>
  </si>
  <si>
    <t>2. HOME COUNTRY DATA</t>
  </si>
  <si>
    <t>Home Country</t>
  </si>
  <si>
    <t>India</t>
  </si>
  <si>
    <t xml:space="preserve">Exact name of Home country employer </t>
  </si>
  <si>
    <t>Atos IT Services Private Limited</t>
  </si>
  <si>
    <t>GCM Level Before Departure</t>
  </si>
  <si>
    <t>Role Title Before Departure</t>
  </si>
  <si>
    <t>FTR Number "Traveler"</t>
  </si>
  <si>
    <t>FTR Number "Dependents" (if dep. is accompanying)</t>
  </si>
  <si>
    <t>Home Branch</t>
  </si>
  <si>
    <t xml:space="preserve">Home Business Unit </t>
  </si>
  <si>
    <t>Home Country Cost Center During Assignment</t>
  </si>
  <si>
    <t>Project / WBS Code</t>
  </si>
  <si>
    <t>Mail Id</t>
  </si>
  <si>
    <t>Home Country Line Manager Name / Mail ID / Contact Number</t>
  </si>
  <si>
    <t>Home Country Project  Manager Name / Mail ID / Contact Number</t>
  </si>
  <si>
    <t>3. INDIA IM CONCLUSION - TO BE COMPLETED BY INDIA INTERNATIONAL MOBILITY TEAM ONLY</t>
  </si>
  <si>
    <t>Applicable policy</t>
  </si>
  <si>
    <t>4. Only For US</t>
  </si>
  <si>
    <t>Name of sponsoring department:</t>
  </si>
  <si>
    <t>Will the prospective employee have access to encryption technology including Unify or Atos-developed software (beyond commercially available software)?  If yes, please list technologies in the Job Description section.</t>
  </si>
  <si>
    <t>Job Description:  the beneficiary’s position duties, and the technology and technical data (if any) to which s/he will have access, including names of any software the foreign national will use in the performance of her/his job duties.</t>
  </si>
  <si>
    <t>Will the prospective employee be working on projects that involve equipment, materials, software, or technical data designed or modified for a military use or for use in outer space; or which could reasonably be used in the development of weapons of mass destruction?</t>
  </si>
  <si>
    <t>Were any of the items, equipment, software, technology or technical data to be shared, transmitted or transferred to the Beneficiary developed under a sponsored agreement or government contract that imposed publication restrictions for proprietary reasons (other than limited sponsor pre-publication review to insure intellectual property or patent rights), or pursuant to specific U.S. Government access and dissemination controls?</t>
  </si>
  <si>
    <t>TRAVEL NOTIFICATION FORM</t>
  </si>
  <si>
    <t>To be completed only when immigration process has been completed and the employee is ready to travel</t>
  </si>
  <si>
    <t xml:space="preserve"> - The package preparation will not be started until all the information is provided</t>
  </si>
  <si>
    <t>1. PROJECT DETAILS CONFIRMATION</t>
  </si>
  <si>
    <t xml:space="preserve"> HOST COUNTRY ADRESS CONFIRMATION</t>
  </si>
  <si>
    <t xml:space="preserve">In case of change, Provide updated Project details  </t>
  </si>
  <si>
    <t>Host employer name and adress where assignee is going to work</t>
  </si>
  <si>
    <t>Employee's host personal adress</t>
  </si>
  <si>
    <t>Project details previously communicated</t>
  </si>
  <si>
    <t>FTR Number "Assignee"</t>
  </si>
  <si>
    <t>Home Service Line</t>
  </si>
  <si>
    <t>Host Service Line</t>
  </si>
  <si>
    <t>Host country line Manager name ( if different)</t>
  </si>
  <si>
    <t>Host country Program Manager name ( if different)</t>
  </si>
  <si>
    <t>Name of Client which the Assignee will be working on.</t>
  </si>
  <si>
    <t>Name of Project which the Assignee will be working on.</t>
  </si>
  <si>
    <t xml:space="preserve">Nature of activity in Host Country </t>
  </si>
  <si>
    <t>2. DEPENDENTS DETAILS ( If Travelling)</t>
  </si>
  <si>
    <t>Where will Spouse / Partner be living during assignment?</t>
  </si>
  <si>
    <t xml:space="preserve">First name &amp; Family name of Spouse or Partner ( as per passport)  </t>
  </si>
  <si>
    <t>Are The Dependents Travelling On the same dates</t>
  </si>
  <si>
    <t>Nationality/Date of Birth</t>
  </si>
  <si>
    <t xml:space="preserve">Accompanying Abroad? </t>
  </si>
  <si>
    <t>Visa type</t>
  </si>
  <si>
    <t>Home or Host payroll</t>
  </si>
  <si>
    <t>TNF Approved</t>
  </si>
  <si>
    <t>Reason of TNF refusal</t>
  </si>
  <si>
    <t>Tab 3 " Travel Notification" must be sent to "IndiaMobility@atos.net" when the employee is ready to travel</t>
  </si>
  <si>
    <t>S. No</t>
  </si>
  <si>
    <t>Version</t>
  </si>
  <si>
    <t>Date</t>
  </si>
  <si>
    <t>Reviewed By</t>
  </si>
  <si>
    <t>Approved By</t>
  </si>
  <si>
    <t>Updated for entity and country drop downs</t>
  </si>
  <si>
    <t>Benjamin Prost</t>
  </si>
  <si>
    <t>Subramani Soman</t>
  </si>
  <si>
    <t>New Assignee Data protection Link is updated</t>
  </si>
  <si>
    <t>Rahul Mahale</t>
  </si>
  <si>
    <t>Home and Host Legal Entity Information updated - Sheet 1</t>
  </si>
  <si>
    <t>Data Consent form Link to SP is updated</t>
  </si>
  <si>
    <t>Vidya Mohan</t>
  </si>
  <si>
    <t>Updated Home and Host Country Service line list to Branch list</t>
  </si>
  <si>
    <t>Vignesh R</t>
  </si>
  <si>
    <t>Removed Data consent form Link from EDS</t>
  </si>
  <si>
    <t>Addition of Paladion Networks Pvt Ltd in Home Entity - Sheet 2</t>
  </si>
  <si>
    <t>Prakash Kedia</t>
  </si>
  <si>
    <t>Training Visa</t>
  </si>
  <si>
    <t xml:space="preserve">Single living alone </t>
  </si>
  <si>
    <t xml:space="preserve">Host Country Line Manager </t>
  </si>
  <si>
    <t xml:space="preserve">Single </t>
  </si>
  <si>
    <t>Business Travel</t>
  </si>
  <si>
    <t xml:space="preserve">Single living with Partner </t>
  </si>
  <si>
    <t xml:space="preserve">Home Country Line Manager </t>
  </si>
  <si>
    <t xml:space="preserve">Accompanied </t>
  </si>
  <si>
    <t>LR – STIA</t>
  </si>
  <si>
    <t>Married</t>
  </si>
  <si>
    <t xml:space="preserve">Both: Home &amp; Host Country Line Manager </t>
  </si>
  <si>
    <t xml:space="preserve">Unaccompanied </t>
  </si>
  <si>
    <t xml:space="preserve">LR – LTIA </t>
  </si>
  <si>
    <t>Divorced</t>
  </si>
  <si>
    <t>Global IM policy</t>
  </si>
  <si>
    <t>Separated</t>
  </si>
  <si>
    <t>Civil Partnership</t>
  </si>
  <si>
    <t xml:space="preserve">Dependent children </t>
  </si>
  <si>
    <t>First name child one</t>
  </si>
  <si>
    <t xml:space="preserve">Home Country </t>
  </si>
  <si>
    <t xml:space="preserve">Yes </t>
  </si>
  <si>
    <t>First name child two</t>
  </si>
  <si>
    <t xml:space="preserve">Host Country </t>
  </si>
  <si>
    <t xml:space="preserve">No </t>
  </si>
  <si>
    <t>First name child three</t>
  </si>
  <si>
    <t xml:space="preserve">Other </t>
  </si>
  <si>
    <t>Single, Living with Partner</t>
  </si>
  <si>
    <t>Green Card Application in process</t>
  </si>
  <si>
    <t>First name child four</t>
  </si>
  <si>
    <t>Single, two dependent children</t>
  </si>
  <si>
    <t>Single, one dependent child</t>
  </si>
  <si>
    <t xml:space="preserve">Not Applicable </t>
  </si>
  <si>
    <t xml:space="preserve">Single, three dependent children </t>
  </si>
  <si>
    <t xml:space="preserve">East </t>
  </si>
  <si>
    <t>Married + 1</t>
  </si>
  <si>
    <t>West</t>
  </si>
  <si>
    <t>Married + 2</t>
  </si>
  <si>
    <t>Married + 3</t>
  </si>
  <si>
    <t>Married + 4</t>
  </si>
  <si>
    <t>Male</t>
  </si>
  <si>
    <t>Audit &amp; Security</t>
  </si>
  <si>
    <t>Afghanistan</t>
  </si>
  <si>
    <t>Female</t>
  </si>
  <si>
    <t>CAMPUS SI</t>
  </si>
  <si>
    <t>Big Data &amp; Security</t>
  </si>
  <si>
    <t>Albania</t>
  </si>
  <si>
    <t>SIDG SAP Debut</t>
  </si>
  <si>
    <t>BPO</t>
  </si>
  <si>
    <t>Algeria</t>
  </si>
  <si>
    <t>SIDG Debut Non-SAP</t>
  </si>
  <si>
    <t>Cloud and Enterprise Software</t>
  </si>
  <si>
    <t>Andorra</t>
  </si>
  <si>
    <t>SI DIRECT GLOBAL AM</t>
  </si>
  <si>
    <t>Communications</t>
  </si>
  <si>
    <t>Angola</t>
  </si>
  <si>
    <t>GLOBAL SYSTEM INTEGRATION - BPO</t>
  </si>
  <si>
    <t>Consulting &amp; System Integration</t>
  </si>
  <si>
    <t>Antigua and Barbuda</t>
  </si>
  <si>
    <t>SI DIRECT GLOBAL SAP</t>
  </si>
  <si>
    <t>Customer Satisfaction &amp; Quality</t>
  </si>
  <si>
    <t>Argentina</t>
  </si>
  <si>
    <t>SI DIRECT GLOBAL SOL</t>
  </si>
  <si>
    <t>Finance</t>
  </si>
  <si>
    <t>Armenia</t>
  </si>
  <si>
    <t>SI DIRECT GLOBAL SUPPORT</t>
  </si>
  <si>
    <t>Group Executives and Talents Management</t>
  </si>
  <si>
    <t>Aruba</t>
  </si>
  <si>
    <t>SI DIRECT LOCAL SAP</t>
  </si>
  <si>
    <t>Human Resources</t>
  </si>
  <si>
    <t>Australia</t>
  </si>
  <si>
    <t>PAYROLL TRANSFER - SI</t>
  </si>
  <si>
    <t>Information Technology Outsourcing</t>
  </si>
  <si>
    <t>Austria</t>
  </si>
  <si>
    <t>GSID-Analytics</t>
  </si>
  <si>
    <t>IT &amp; Processes</t>
  </si>
  <si>
    <t>Azerbaijan</t>
  </si>
  <si>
    <t>GSID-CEM</t>
  </si>
  <si>
    <t>Legal &amp; Compliance</t>
  </si>
  <si>
    <t>Bahamas, The</t>
  </si>
  <si>
    <t>GSID-E&amp;U</t>
  </si>
  <si>
    <t>Managed Services</t>
  </si>
  <si>
    <t>Bahrain</t>
  </si>
  <si>
    <t>GSID-FS-Insurance</t>
  </si>
  <si>
    <t>Merge &amp; Acquisitions</t>
  </si>
  <si>
    <t>Bangladesh</t>
  </si>
  <si>
    <t>GSID-Microsoft (Platform)</t>
  </si>
  <si>
    <t>Procurement</t>
  </si>
  <si>
    <t>Barbados</t>
  </si>
  <si>
    <t>GSID-MRT-Manufacturing</t>
  </si>
  <si>
    <t>Quality</t>
  </si>
  <si>
    <t>Belarus</t>
  </si>
  <si>
    <t>GSID-MRT-Retail</t>
  </si>
  <si>
    <t>Substainability</t>
  </si>
  <si>
    <t>Belgium</t>
  </si>
  <si>
    <t>GSID-PAL</t>
  </si>
  <si>
    <t xml:space="preserve">Technology Services </t>
  </si>
  <si>
    <t>Belize</t>
  </si>
  <si>
    <t>GSID-PH-Health</t>
  </si>
  <si>
    <t>Wordline</t>
  </si>
  <si>
    <t>Benin</t>
  </si>
  <si>
    <t>GSID-Programming Factory</t>
  </si>
  <si>
    <t>Bhutan</t>
  </si>
  <si>
    <t>GSID-SAP</t>
  </si>
  <si>
    <t>Bolivia</t>
  </si>
  <si>
    <t>GSID-SIEMENS</t>
  </si>
  <si>
    <t>Bosnia and Herzegovina</t>
  </si>
  <si>
    <t>GSID-T&amp;M-Media</t>
  </si>
  <si>
    <t>Botswana</t>
  </si>
  <si>
    <t>GSID-T&amp;M-Telecom</t>
  </si>
  <si>
    <t>Brazil</t>
  </si>
  <si>
    <t>GSID-Testing</t>
  </si>
  <si>
    <t xml:space="preserve">Brunei </t>
  </si>
  <si>
    <t>GSID-Transport</t>
  </si>
  <si>
    <t>Bulgaria</t>
  </si>
  <si>
    <t>GSID-Atos-Internal</t>
  </si>
  <si>
    <t>Burkina Faso</t>
  </si>
  <si>
    <t>GSID-FS-Banking</t>
  </si>
  <si>
    <t>Burma</t>
  </si>
  <si>
    <t>GSID-FS-Others</t>
  </si>
  <si>
    <t>Burundi</t>
  </si>
  <si>
    <t>GSID-PH-Public</t>
  </si>
  <si>
    <t>Cambodia</t>
  </si>
  <si>
    <t>CAMPUS MS</t>
  </si>
  <si>
    <t>Cameroon</t>
  </si>
  <si>
    <t>GMS GO GD AHS</t>
  </si>
  <si>
    <t>Canada</t>
  </si>
  <si>
    <t>GMS GO GD AHS OFFSHORE</t>
  </si>
  <si>
    <t>Cape Verde</t>
  </si>
  <si>
    <t>GMS GO GD WSDS</t>
  </si>
  <si>
    <t>Central African Republic</t>
  </si>
  <si>
    <t>GMS GO GD WSDS OFFSHORE</t>
  </si>
  <si>
    <t>Chad</t>
  </si>
  <si>
    <t>GMS GO GD CLOUD OP PC APAC</t>
  </si>
  <si>
    <t>Chile</t>
  </si>
  <si>
    <t>GMS GO GD GDTS</t>
  </si>
  <si>
    <t>China</t>
  </si>
  <si>
    <t>GMS GO GD NDCS</t>
  </si>
  <si>
    <t>Colombia</t>
  </si>
  <si>
    <t>GMS GO GD NDCS OFFSHORE</t>
  </si>
  <si>
    <t>Comoros</t>
  </si>
  <si>
    <t>GMS GO GD STRUCTURE</t>
  </si>
  <si>
    <t>Congo, Democratic Republic of the</t>
  </si>
  <si>
    <t>GMS GO GSS INDIA</t>
  </si>
  <si>
    <t>Congo, Republic of the</t>
  </si>
  <si>
    <t>GMS SEDA</t>
  </si>
  <si>
    <t>Costa Rica</t>
  </si>
  <si>
    <t>MS OTHERS</t>
  </si>
  <si>
    <t>Cote d'Ivoire</t>
  </si>
  <si>
    <t>COMPETENCY POOL - MS</t>
  </si>
  <si>
    <t>Croatia</t>
  </si>
  <si>
    <t>GMS GO GSM</t>
  </si>
  <si>
    <t>Cuba</t>
  </si>
  <si>
    <t>PAYROLL TRANSFER - MS</t>
  </si>
  <si>
    <t>Curacao</t>
  </si>
  <si>
    <t>India - Big Data &amp; Security</t>
  </si>
  <si>
    <t>Cyprus</t>
  </si>
  <si>
    <t>Business Excellence</t>
  </si>
  <si>
    <t>Czech Republic</t>
  </si>
  <si>
    <t>General Management</t>
  </si>
  <si>
    <t>Denmark</t>
  </si>
  <si>
    <t>MS - General Management</t>
  </si>
  <si>
    <t>Djibouti</t>
  </si>
  <si>
    <t>India - Finance</t>
  </si>
  <si>
    <t>Dominica</t>
  </si>
  <si>
    <t>India - Human Resources</t>
  </si>
  <si>
    <t>Dominican Republic</t>
  </si>
  <si>
    <t>India - IT</t>
  </si>
  <si>
    <t>Ecuador</t>
  </si>
  <si>
    <t>India - Legal</t>
  </si>
  <si>
    <t>Egypt</t>
  </si>
  <si>
    <t>India - Purchasing</t>
  </si>
  <si>
    <t>El Salvador</t>
  </si>
  <si>
    <t>Logistics &amp; Housing</t>
  </si>
  <si>
    <t>Equatorial Guinea</t>
  </si>
  <si>
    <t>Marketing</t>
  </si>
  <si>
    <t>Eritrea</t>
  </si>
  <si>
    <t>Communication</t>
  </si>
  <si>
    <t>Estonia</t>
  </si>
  <si>
    <t>Global SI Op Quality &amp; Security</t>
  </si>
  <si>
    <t>Ethiopia</t>
  </si>
  <si>
    <t>MS - Sales</t>
  </si>
  <si>
    <t>Fiji</t>
  </si>
  <si>
    <t>SI - Sales</t>
  </si>
  <si>
    <t>Finland</t>
  </si>
  <si>
    <t>France</t>
  </si>
  <si>
    <t>Gabon</t>
  </si>
  <si>
    <t>Gambia, The</t>
  </si>
  <si>
    <t>Georgia</t>
  </si>
  <si>
    <t>Germany</t>
  </si>
  <si>
    <t>Ghana</t>
  </si>
  <si>
    <t>Greece</t>
  </si>
  <si>
    <t>Grenada</t>
  </si>
  <si>
    <t>Guatemala</t>
  </si>
  <si>
    <t>Guinea</t>
  </si>
  <si>
    <t>Guinea-Bissau</t>
  </si>
  <si>
    <t>Guyana</t>
  </si>
  <si>
    <t>Haiti</t>
  </si>
  <si>
    <t>Honduras</t>
  </si>
  <si>
    <t>Hong Kong</t>
  </si>
  <si>
    <t>Hungary</t>
  </si>
  <si>
    <t>Iceland</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</si>
  <si>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</si>
  <si>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</si>
  <si>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</si>
  <si>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</si>
  <si>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</si>
  <si>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</si>
  <si>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</si>
  <si>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</si>
  <si>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</si>
  <si>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</si>
  <si>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</si>
  <si>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</si>
  <si>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</si>
  <si>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</si>
  <si>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</si>
  <si>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</si>
  <si>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</si>
  <si>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</si>
  <si>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</si>
  <si>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</si>
  <si>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</si>
  <si>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</si>
  <si>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</si>
  <si>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</si>
  <si>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</si>
  <si>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</si>
  <si>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</si>
  <si>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</si>
  <si>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</si>
  <si>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</si>
  <si>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</si>
  <si>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</si>
  <si>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</si>
  <si>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</si>
  <si>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</si>
  <si>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</si>
  <si>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</si>
  <si>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</si>
  <si>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</si>
  <si>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</si>
  <si>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</si>
  <si>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</si>
  <si>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</si>
  <si>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</si>
  <si>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</si>
  <si>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Namibia</t>
  </si>
  <si>
    <t>Nauru</t>
  </si>
  <si>
    <t>Nepal</t>
  </si>
  <si>
    <t>Netherlands</t>
  </si>
  <si>
    <t>Netherlands Antilles</t>
  </si>
  <si>
    <t>New Zealand</t>
  </si>
  <si>
    <t>Nicaragua</t>
  </si>
  <si>
    <t>Niger</t>
  </si>
  <si>
    <t>Nigeria</t>
  </si>
  <si>
    <t>North Korea</t>
  </si>
  <si>
    <t>Norway</t>
  </si>
  <si>
    <t>Oman</t>
  </si>
  <si>
    <t>Pakistan</t>
  </si>
  <si>
    <t>Palau</t>
  </si>
  <si>
    <t>Palestinian Territories</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</si>
  <si>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</si>
  <si>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</si>
  <si>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</si>
  <si>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</si>
  <si>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</si>
  <si>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</si>
  <si>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</si>
  <si>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</si>
  <si>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</si>
  <si>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</si>
  <si>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</si>
  <si>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</si>
  <si>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</si>
  <si>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</si>
  <si>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 xml:space="preserve">Samoa </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</si>
  <si>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</si>
  <si>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</si>
  <si>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</si>
  <si>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</si>
  <si>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</si>
  <si>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</si>
  <si>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</si>
  <si>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</si>
  <si>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</si>
  <si>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</si>
  <si>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</si>
  <si>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</si>
  <si>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</si>
  <si>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</si>
  <si>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</si>
  <si>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</si>
  <si>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 xml:space="preserve">Spain </t>
  </si>
  <si>
    <t>Sri Lanka</t>
  </si>
  <si>
    <t>Sudan</t>
  </si>
  <si>
    <t>Suriname</t>
  </si>
  <si>
    <t xml:space="preserve">Swaziland </t>
  </si>
  <si>
    <t>Sweden</t>
  </si>
  <si>
    <t>Switzerland</t>
  </si>
  <si>
    <t>Syria</t>
  </si>
  <si>
    <t>Taiwan</t>
  </si>
  <si>
    <t>Tajikistan</t>
  </si>
  <si>
    <t>Tanzania</t>
  </si>
  <si>
    <t xml:space="preserve">Thailand </t>
  </si>
  <si>
    <t>Timor-Leste</t>
  </si>
  <si>
    <t>Togo</t>
  </si>
  <si>
    <t>Tonga</t>
  </si>
  <si>
    <t>Trinidad and Tobago</t>
  </si>
  <si>
    <t>Tunisia</t>
  </si>
  <si>
    <t>Turkey</t>
  </si>
  <si>
    <t>Turkmenistan</t>
  </si>
  <si>
    <t>Tuvalu</t>
  </si>
  <si>
    <t>Uganda</t>
  </si>
  <si>
    <t>Ukraine</t>
  </si>
  <si>
    <t>United Arab Emirates</t>
  </si>
  <si>
    <t>United Kingdom</t>
  </si>
  <si>
    <t>Uruguay</t>
  </si>
  <si>
    <t>Uzbekistan</t>
  </si>
  <si>
    <t>Vanuatu</t>
  </si>
  <si>
    <t>Venezuela</t>
  </si>
  <si>
    <t>Vietnam</t>
  </si>
  <si>
    <t>Yemen</t>
  </si>
  <si>
    <t>Zambia</t>
  </si>
  <si>
    <t xml:space="preserve">Zimbabwe </t>
  </si>
  <si>
    <t xml:space="preserve">Indian Payroll Data </t>
  </si>
  <si>
    <t>First Name Last Name</t>
  </si>
  <si>
    <t>Job Title</t>
  </si>
  <si>
    <t>Effective Date</t>
  </si>
  <si>
    <t>Components</t>
  </si>
  <si>
    <t>Monthly</t>
  </si>
  <si>
    <t>Annual</t>
  </si>
  <si>
    <t>Basic</t>
  </si>
  <si>
    <t>Basket of Allowances</t>
  </si>
  <si>
    <t>HRA</t>
  </si>
  <si>
    <t>Self/children Educ allowance</t>
  </si>
  <si>
    <t>Conveyance</t>
  </si>
  <si>
    <t>Special allowance</t>
  </si>
  <si>
    <t>Food Coupon/ Lunch Coupons</t>
  </si>
  <si>
    <t>Medical allowance</t>
  </si>
  <si>
    <t>Leave travel allowance(LTA)</t>
  </si>
  <si>
    <t>Sub total - BOA</t>
  </si>
  <si>
    <t>Total</t>
  </si>
  <si>
    <t>Non-Taxable Component</t>
  </si>
  <si>
    <t>Reimbursment Details</t>
  </si>
  <si>
    <t>Vehicle/ Fuel Reimbursement</t>
  </si>
  <si>
    <t>Driver Reimbursement</t>
  </si>
  <si>
    <t>Total Reimbursement</t>
  </si>
  <si>
    <t xml:space="preserve">Car Hire </t>
  </si>
  <si>
    <t>Car Hire Charges</t>
  </si>
  <si>
    <t xml:space="preserve">Service Tax </t>
  </si>
  <si>
    <t>Total - Vendor Payments- Taxation</t>
  </si>
  <si>
    <t>Gross Income (Taxable+ Non Taxable)</t>
  </si>
  <si>
    <t>Retiral Benefits- Employer Contribution</t>
  </si>
  <si>
    <t>Employer contribution (PF)</t>
  </si>
  <si>
    <t>Supperannuation</t>
  </si>
  <si>
    <t>Employer contribution (gratuity)</t>
  </si>
  <si>
    <t>Bonus (Annual)</t>
  </si>
  <si>
    <t>Cost to company</t>
  </si>
  <si>
    <t>Tax calculation</t>
  </si>
  <si>
    <t>Income (gross)</t>
  </si>
  <si>
    <t>Exempt</t>
  </si>
  <si>
    <t>Prof Tax</t>
  </si>
  <si>
    <t>Conv (as per the government. rule)</t>
  </si>
  <si>
    <t>Medical</t>
  </si>
  <si>
    <t>Total Income</t>
  </si>
  <si>
    <t>Income From House Property</t>
  </si>
  <si>
    <t>Interest on Housing Loan (For Deduction)</t>
  </si>
  <si>
    <t>Income from Other Sources</t>
  </si>
  <si>
    <t>Gross Total Income</t>
  </si>
  <si>
    <t>Investment UNDER Sec 80C</t>
  </si>
  <si>
    <t>PF- Employee Contribution</t>
  </si>
  <si>
    <t>Housing Loan- Principal</t>
  </si>
  <si>
    <t>Other</t>
  </si>
  <si>
    <t>Mediclaim - Sec 80 D (Parents Insurance)</t>
  </si>
  <si>
    <t>Net Taxable Income</t>
  </si>
  <si>
    <t>Salary range</t>
  </si>
  <si>
    <t>Tax bracket</t>
  </si>
  <si>
    <t>Tax amount</t>
  </si>
  <si>
    <t>&gt;200,000 to 500,000</t>
  </si>
  <si>
    <t>&gt; 500,000 to 1,000,000</t>
  </si>
  <si>
    <t>&gt; 1,000,000  and above</t>
  </si>
  <si>
    <t>Gross Tax</t>
  </si>
  <si>
    <t>Education Cess</t>
  </si>
  <si>
    <t>Total Tax</t>
  </si>
  <si>
    <t>PBS and CP Input Sheet</t>
  </si>
  <si>
    <t xml:space="preserve">The fields linked to the EDS are in green </t>
  </si>
  <si>
    <t>PREP / REV Initials eg EVWA/LYSA</t>
  </si>
  <si>
    <t>EVWA/LYSA</t>
  </si>
  <si>
    <t>First name Name</t>
  </si>
  <si>
    <t xml:space="preserve">First name Name </t>
  </si>
  <si>
    <t>Data from the EDS</t>
  </si>
  <si>
    <t>Assignment Commencing</t>
  </si>
  <si>
    <t>Home Location</t>
  </si>
  <si>
    <t>Host Country</t>
  </si>
  <si>
    <t>Host Location</t>
  </si>
  <si>
    <t>PBS Effective date</t>
  </si>
  <si>
    <t>Host Line Manager</t>
  </si>
  <si>
    <t>Home Line Manager</t>
  </si>
  <si>
    <t>Head of Home HR - name</t>
  </si>
  <si>
    <t>Head of Home HR - title</t>
  </si>
  <si>
    <t>Head of Home HR - entity name</t>
  </si>
  <si>
    <t>Buisness Line Manager + 1 in cost bearing country - Name</t>
  </si>
  <si>
    <t>Buisness Line Manager + 1 in cost bearing country - Title</t>
  </si>
  <si>
    <t>Entity name</t>
  </si>
  <si>
    <t>Signatory for Group HR -  (80/150)</t>
  </si>
  <si>
    <t>Simon Byrne or Philipe Mareine</t>
  </si>
  <si>
    <t>Title for Group HR</t>
  </si>
  <si>
    <t>Head of Group Mobility or Group EVP HR</t>
  </si>
  <si>
    <t>Head of Host HR - name</t>
  </si>
  <si>
    <t>Head of Host HR - title</t>
  </si>
  <si>
    <t>Head of Host HR - entity name</t>
  </si>
  <si>
    <t>Social Security</t>
  </si>
  <si>
    <t>Home Country and / or Host Country</t>
  </si>
  <si>
    <t>Pension</t>
  </si>
  <si>
    <t>Home Country and / or Host Country or International</t>
  </si>
  <si>
    <t>Costs are borne in (which country)?</t>
  </si>
  <si>
    <t>Host</t>
  </si>
  <si>
    <t>Policy</t>
  </si>
  <si>
    <t>Short-Term, Long-Term Assignment - Single, Unaccompanied, Accompanied</t>
  </si>
  <si>
    <t>Policy Version</t>
  </si>
  <si>
    <t>STIA Policy Version 3.0 (1st January 2011) / LTIA Policy Version 3.0 (1st June 2010)</t>
  </si>
  <si>
    <t>Dependent Family</t>
  </si>
  <si>
    <t>Family status plus dependents</t>
  </si>
  <si>
    <t>Family size on assignment:</t>
  </si>
  <si>
    <t xml:space="preserve"> - Adults</t>
  </si>
  <si>
    <t xml:space="preserve"> - Children</t>
  </si>
  <si>
    <t>Family Reunification - number of trips authorised</t>
  </si>
  <si>
    <t>Accompanying spouse? If not delete this amount</t>
  </si>
  <si>
    <t>Non-accompanying spouse? If not delete this amount</t>
  </si>
  <si>
    <t>STAA (from the STAA worksheet) - Delete this cell if not applicable</t>
  </si>
  <si>
    <t>Family size for Pre assignment trip (2 adults or 1 adult and 1 child):</t>
  </si>
  <si>
    <t>Adults</t>
  </si>
  <si>
    <t>Children</t>
  </si>
  <si>
    <t>Number of hotel rooms required</t>
  </si>
  <si>
    <t>Temporary Living - number of hotel rooms</t>
  </si>
  <si>
    <t>Home Currency</t>
  </si>
  <si>
    <t>Host Currency</t>
  </si>
  <si>
    <t>£ST</t>
  </si>
  <si>
    <t>Salary data:</t>
  </si>
  <si>
    <t>Base Salary</t>
  </si>
  <si>
    <t>Bonus</t>
  </si>
  <si>
    <t>Other cash payment</t>
  </si>
  <si>
    <t>Source</t>
  </si>
  <si>
    <t>Home HR / or delete</t>
  </si>
  <si>
    <t>Benefit-in-kind</t>
  </si>
  <si>
    <t>Company car (Home currency)</t>
  </si>
  <si>
    <t>Oanda Data</t>
  </si>
  <si>
    <t>1 Euro = x Home Currency</t>
  </si>
  <si>
    <t>1 Home Currency = x Host Currency</t>
  </si>
  <si>
    <t>Exchange rate period</t>
  </si>
  <si>
    <t>May 2013 to June 2014</t>
  </si>
  <si>
    <t>PwC Ressource Calculator Data</t>
  </si>
  <si>
    <t>Hypothetical Withholding (from PwC calculator) - ABS only:</t>
  </si>
  <si>
    <t>input as a positive number</t>
  </si>
  <si>
    <t>Employee Social Security</t>
  </si>
  <si>
    <t>Country Taxes</t>
  </si>
  <si>
    <t>Year applicable for PwC tax rates</t>
  </si>
  <si>
    <t>Hypothetical Withholding (from PwC calculator) - ABS and Bonus:</t>
  </si>
  <si>
    <t>Mercer data</t>
  </si>
  <si>
    <t>Survey period</t>
  </si>
  <si>
    <t>March 2014</t>
  </si>
  <si>
    <t>COLA  - Ongoing Expenditures - % - 30% deduction for 1 dependent remaining in Home Country or 40% deduction for 2 or more dependents remaining in Home Country</t>
  </si>
  <si>
    <t>International spendable income  (if Home country is emerging country)</t>
  </si>
  <si>
    <t>COLA index -  (Mean-to-Mean, incl. Transport) - LTIA</t>
  </si>
  <si>
    <t>COLA index -  (Efficient Purchaser) - STIA</t>
  </si>
  <si>
    <t>Location Premium %</t>
  </si>
  <si>
    <t>Accommodation (Host Currency / Monthly rent) - 100%</t>
  </si>
  <si>
    <t>Accomodation Detail</t>
  </si>
  <si>
    <t>1 Bedroom / Unfurnished</t>
  </si>
  <si>
    <t>School fees (Host currency)</t>
  </si>
  <si>
    <t>Travel costs (Trip Advisor or Expedia)</t>
  </si>
  <si>
    <t>Flights - for one person (in Euros)</t>
  </si>
  <si>
    <t>One way - Home to Host</t>
  </si>
  <si>
    <t>One way - Host to Home</t>
  </si>
  <si>
    <t>Return Trip Host to Home to Host</t>
  </si>
  <si>
    <t>Return Trip Home to Host to Home</t>
  </si>
  <si>
    <t>Hotels</t>
  </si>
  <si>
    <t>I night for 1 or 2 adults in Host (1 room)</t>
  </si>
  <si>
    <t>I night for 1 or 2 adults in Home (1 room)</t>
  </si>
  <si>
    <t>Insurance</t>
  </si>
  <si>
    <t>Medical insurance:</t>
  </si>
  <si>
    <t>Prévinter  - 1st Euro (per family) OR</t>
  </si>
  <si>
    <t>Prévinter  - for French employees only (per family) OR</t>
  </si>
  <si>
    <t>Other medical insurance (assumed to be EUROS !!!)</t>
  </si>
  <si>
    <t>Insurance name</t>
  </si>
  <si>
    <t>Previnter</t>
  </si>
  <si>
    <t>Tax Compliance</t>
  </si>
  <si>
    <t>Home (in Home currency):</t>
  </si>
  <si>
    <t>Income tax return</t>
  </si>
  <si>
    <t>Certificate of Coverage</t>
  </si>
  <si>
    <t>Tax Equalisation</t>
  </si>
  <si>
    <t>Tax briefing</t>
  </si>
  <si>
    <t>Host (in Host currency):</t>
  </si>
  <si>
    <t>Shadow Payroll</t>
  </si>
  <si>
    <t>Immigration</t>
  </si>
  <si>
    <t>Atos Per Diems (from SharePoint)</t>
  </si>
  <si>
    <t>Host City</t>
  </si>
  <si>
    <t>Home City</t>
  </si>
  <si>
    <t xml:space="preserve">Template revision date: </t>
  </si>
  <si>
    <t>Work Visa Export Compliance Form
FOR U.S. ONLY</t>
  </si>
  <si>
    <t>From (Home City, Home Country)</t>
  </si>
  <si>
    <t>To (Host City, Host Country)</t>
  </si>
  <si>
    <t>Nationality</t>
  </si>
  <si>
    <t xml:space="preserve">Start Date </t>
  </si>
  <si>
    <t xml:space="preserve">End Date </t>
  </si>
  <si>
    <t xml:space="preserve">Family status </t>
  </si>
  <si>
    <t>Beneficiary’s name:</t>
  </si>
  <si>
    <t>Country of citizenship:</t>
  </si>
  <si>
    <t>Applicant proposed hire date:</t>
  </si>
  <si>
    <t>Name of sponsor (supervisor/PI):</t>
  </si>
  <si>
    <t>Legal Entities</t>
  </si>
  <si>
    <t>Nature of activity</t>
  </si>
  <si>
    <t>Branch</t>
  </si>
  <si>
    <t>Legal entities including India</t>
  </si>
  <si>
    <t>Home Entity</t>
  </si>
  <si>
    <t>Algeria - Bull Algerie</t>
  </si>
  <si>
    <t>Bangalore</t>
  </si>
  <si>
    <t>Business Trip</t>
  </si>
  <si>
    <t>India Legacy Policy</t>
  </si>
  <si>
    <t>Atos Global IT Sol &amp; Ser P.Ltd</t>
  </si>
  <si>
    <t>Argentina - Atos Argentina SA</t>
  </si>
  <si>
    <t>Kolkata</t>
  </si>
  <si>
    <t>Landed Resource</t>
  </si>
  <si>
    <t>CO&amp;A 1 Global Tooling and Svc Mgt</t>
  </si>
  <si>
    <t>Åland Islands</t>
  </si>
  <si>
    <t>India to France - Travel and Transfer Policy - V1</t>
  </si>
  <si>
    <t>Atos India Private Limited</t>
  </si>
  <si>
    <t>Argentina - ATOS IT SOLUTIONS AND SERVICES</t>
  </si>
  <si>
    <t>Pune</t>
  </si>
  <si>
    <t>Training</t>
  </si>
  <si>
    <t>CO&amp;A 2 Portfolio and GO-level Alliances</t>
  </si>
  <si>
    <t>India to Germany - Travel and Transfer Policy - V3</t>
  </si>
  <si>
    <t>Argentina - ATOS ORIGIN IT ARGENTINA SA</t>
  </si>
  <si>
    <t>Mumbai</t>
  </si>
  <si>
    <t>Practice Application Modernization Svc</t>
  </si>
  <si>
    <t>India to Netherlands - Travel and Transfer Policy - V1</t>
  </si>
  <si>
    <t>Atos Syntel Inc.</t>
  </si>
  <si>
    <t>Argentina - Sistemas Castastrales</t>
  </si>
  <si>
    <t>Vadodara</t>
  </si>
  <si>
    <t>Practice IoT</t>
  </si>
  <si>
    <t>American Samoa</t>
  </si>
  <si>
    <t>India to UK - Travel and Transfer Policy Per Diem - V2</t>
  </si>
  <si>
    <t>Paladion Networks Pvt Ltd</t>
  </si>
  <si>
    <t>Australia - Atos Australia</t>
  </si>
  <si>
    <t>Gurgaon</t>
  </si>
  <si>
    <t>Financial Services &amp; Insurance</t>
  </si>
  <si>
    <t>India To ROW (Excluding - UK, US, France, Germany, NL) - Travel and Transfer Policy</t>
  </si>
  <si>
    <t>Sta st Syn Ser Pt Lt</t>
  </si>
  <si>
    <t>Austria - addIT Dienstleistungen GmbH</t>
  </si>
  <si>
    <t>Chennai</t>
  </si>
  <si>
    <t>CO&amp;A 5 Quality &amp; Deal Assurance</t>
  </si>
  <si>
    <t>India to UK - Travel and Transfer Policy Payroll Transfer - V2</t>
  </si>
  <si>
    <t>Syntel (Aus) Pt. Lt.</t>
  </si>
  <si>
    <t>Austria - addIT Dienstleistungs GmbH</t>
  </si>
  <si>
    <t>Hyderabad</t>
  </si>
  <si>
    <t>Practice Local Operations</t>
  </si>
  <si>
    <t>Anguilla</t>
  </si>
  <si>
    <t>India to US - Travel and Transfer Policy - V1</t>
  </si>
  <si>
    <t>Syntel Canada Inc.</t>
  </si>
  <si>
    <t>Austria - AMS Betriebs GmbH &amp; Co KG</t>
  </si>
  <si>
    <t>New Delhi</t>
  </si>
  <si>
    <t>Atos New Scope</t>
  </si>
  <si>
    <t>Antarctica</t>
  </si>
  <si>
    <t>Syntel Deutsch GmbH</t>
  </si>
  <si>
    <t>Austria - AMS Betriebs GmbH Rumänien</t>
  </si>
  <si>
    <t>Thane</t>
  </si>
  <si>
    <t>Resources &amp; Services</t>
  </si>
  <si>
    <t>Antigua And Barbuda</t>
  </si>
  <si>
    <t>Syntel Eur Limited</t>
  </si>
  <si>
    <t>Austria - Archivium GmbH</t>
  </si>
  <si>
    <t>Practice Data Centers &amp; Hosting</t>
  </si>
  <si>
    <t>Syntel Glob Pvt Ltd</t>
  </si>
  <si>
    <t>Austria - Atos Information Techn. GmbH</t>
  </si>
  <si>
    <t>IDM-MANAGED SERVICES</t>
  </si>
  <si>
    <t>Syntel Infotech Inc.</t>
  </si>
  <si>
    <t>Austria - Atos IT Solution and Service G</t>
  </si>
  <si>
    <t>Practice Microsoft</t>
  </si>
  <si>
    <t>Syntel Intl Pvt Ltd</t>
  </si>
  <si>
    <t>Austria - Atos Worldline Austria GmbH</t>
  </si>
  <si>
    <t>Telecom Media &amp; Technology OPS</t>
  </si>
  <si>
    <t>Syntel Pol Sp. Z.o.o</t>
  </si>
  <si>
    <t>Austria - Bull GmbH (Austria)</t>
  </si>
  <si>
    <t>Practice Decarbonization</t>
  </si>
  <si>
    <t>Syntel Pvt Ltd</t>
  </si>
  <si>
    <t>Austria - Cyberdoc GmbH</t>
  </si>
  <si>
    <t>Shared Functions</t>
  </si>
  <si>
    <t>Syntel Services Pt Lt</t>
  </si>
  <si>
    <t>Austria - Cyberdoc GmbH &amp; Co</t>
  </si>
  <si>
    <t>INTEGRATION</t>
  </si>
  <si>
    <t>Bahamas</t>
  </si>
  <si>
    <t>Syntel SGP Pte Ltd.</t>
  </si>
  <si>
    <t>Austria - FastViewer Software Dvpt. GmbH</t>
  </si>
  <si>
    <t>CO&amp;A</t>
  </si>
  <si>
    <t>Syntel Software LLP</t>
  </si>
  <si>
    <t>Austria - ITSS Financing GmbH</t>
  </si>
  <si>
    <t>Practice CX</t>
  </si>
  <si>
    <t>Syntel Sol Ind Pt Lt</t>
  </si>
  <si>
    <t>Austria - Smart Technol. Bet. GmbH</t>
  </si>
  <si>
    <t>Markets</t>
  </si>
  <si>
    <t>Syntel Sol MxES</t>
  </si>
  <si>
    <t>Austria - Together Internet Services</t>
  </si>
  <si>
    <t>Public Sector &amp; Defense</t>
  </si>
  <si>
    <t>Syntel Solutions BV</t>
  </si>
  <si>
    <t>Austria - TSG EDV-Terminal-Service GmbH</t>
  </si>
  <si>
    <t>B&amp;PS-CONSULTING</t>
  </si>
  <si>
    <t>Syntel Switz GmbH</t>
  </si>
  <si>
    <t>Austria - Unify GmbH</t>
  </si>
  <si>
    <t>CO&amp;A 4 T&amp;T</t>
  </si>
  <si>
    <t>Austria - unit-IT Dienstleistungs GmbH</t>
  </si>
  <si>
    <t>Practice Digital Transfo Consulting</t>
  </si>
  <si>
    <t>Austria - Unit-IT Dientleistungen GmbH</t>
  </si>
  <si>
    <t>Practice Digital Workplace</t>
  </si>
  <si>
    <t>Bermuda</t>
  </si>
  <si>
    <t>Belgium - AlphaCloud N.V.</t>
  </si>
  <si>
    <t>Public Sector &amp; Defense OPS</t>
  </si>
  <si>
    <t>Belgium - Atos Belgium NV/SA</t>
  </si>
  <si>
    <t>Manufacturing</t>
  </si>
  <si>
    <t>Belgium - Atos Euronext Belgium SA</t>
  </si>
  <si>
    <t>Big Data and Security</t>
  </si>
  <si>
    <t>Bosnia And Herzegovina</t>
  </si>
  <si>
    <t>Belgium - Atos Euronext Connect SA</t>
  </si>
  <si>
    <t>Healthcare &amp; Life Sciences</t>
  </si>
  <si>
    <t>Belgium - Atos International C&amp; A NV</t>
  </si>
  <si>
    <t>Practice Automation, RPA, Analytics &amp; AI</t>
  </si>
  <si>
    <t>Bouvet Island</t>
  </si>
  <si>
    <t>Belgium - Atos International SA/NV</t>
  </si>
  <si>
    <t>Practice CCS</t>
  </si>
  <si>
    <t>Belgium - Atos Origin Belgium Nv/Sa</t>
  </si>
  <si>
    <t>Practice Network &amp; Communication</t>
  </si>
  <si>
    <t>British Indian Ocean Territory</t>
  </si>
  <si>
    <t>Belgium - ATOS WORLDLINE  PROPCO</t>
  </si>
  <si>
    <t>B&amp;PS-SYSTEMS INTEGRATION</t>
  </si>
  <si>
    <t>British Virgin Islands</t>
  </si>
  <si>
    <t>Belgium - Atos Worldline SA/NV</t>
  </si>
  <si>
    <t>IDM-INFORMATION TECHNOLOGY OUTSOURCING</t>
  </si>
  <si>
    <t>Brunei Darussalam</t>
  </si>
  <si>
    <t>Belgium - Bank Card Company</t>
  </si>
  <si>
    <t>B&amp;PS-SYNTEL</t>
  </si>
  <si>
    <t>Belgium - CSB Consulting BE</t>
  </si>
  <si>
    <t>CO&amp;A 6 Workforce Management</t>
  </si>
  <si>
    <t>Belgium - SA Bull NV</t>
  </si>
  <si>
    <t>CO&amp;A Regional</t>
  </si>
  <si>
    <t>Belgium - Siemens IT Solutions and Servi</t>
  </si>
  <si>
    <t>Practice CES</t>
  </si>
  <si>
    <t>Benin - Ets Bull Benin</t>
  </si>
  <si>
    <t>Practice SAP</t>
  </si>
  <si>
    <t>Brazil - Atos Origin Brasil Ltda</t>
  </si>
  <si>
    <t>B&amp;PS-TECHNOLOGY SERVICES</t>
  </si>
  <si>
    <t>Brazil - Atos Origin Brasil Outs. Ltda</t>
  </si>
  <si>
    <t>IDM-Communication &amp; Collaboration Svc</t>
  </si>
  <si>
    <t>Brazil - Atos Origin Serviços TI Brasil</t>
  </si>
  <si>
    <t>Practice ServiceNow</t>
  </si>
  <si>
    <t>Cayman Islands</t>
  </si>
  <si>
    <t>Brazil - Bull Comercial Ltda</t>
  </si>
  <si>
    <t>Telecom Media &amp; Technology</t>
  </si>
  <si>
    <t>Brazil - Bull do Brasil SI</t>
  </si>
  <si>
    <t>GPO</t>
  </si>
  <si>
    <t>Brazil - Bull IT</t>
  </si>
  <si>
    <t>Manufacturing OPS</t>
  </si>
  <si>
    <t>Brazil - Bull Ltda.</t>
  </si>
  <si>
    <t>Practice Technical Services</t>
  </si>
  <si>
    <t>Brazil - Siemens Soluções e Serviços de</t>
  </si>
  <si>
    <t>IDM-BPO</t>
  </si>
  <si>
    <t>Christmas Island</t>
  </si>
  <si>
    <t>Bulgaria - Atos IT Solutions and Services</t>
  </si>
  <si>
    <t>SHARED FUNCTIONS - DIRECT</t>
  </si>
  <si>
    <t>Cocos (keeling) Islands</t>
  </si>
  <si>
    <t>Burkina Faso - Ets Bull Burkina Faso</t>
  </si>
  <si>
    <t>CO&amp;A 3 Global Pre-Sales</t>
  </si>
  <si>
    <t>Canada - Amesys Canada Inc.</t>
  </si>
  <si>
    <t>Healthcare &amp; Life Sciences OPS</t>
  </si>
  <si>
    <t>Canada - Atos Inc / Canada branch</t>
  </si>
  <si>
    <t>Resources &amp; Services OPS</t>
  </si>
  <si>
    <t>Cook Islands</t>
  </si>
  <si>
    <t>Canada - Atos IT Solutions and Services</t>
  </si>
  <si>
    <t>UNIFIED COMMUNICATION &amp; COLLABORATION</t>
  </si>
  <si>
    <t>Canada - Atos Origin Technologies Canad</t>
  </si>
  <si>
    <t>Financial Services &amp; Insurance OPS</t>
  </si>
  <si>
    <t>Côte D'ivoire</t>
  </si>
  <si>
    <t>Chile - Atos IT Sol and Serv SA</t>
  </si>
  <si>
    <t>Practice Atos-Syntel</t>
  </si>
  <si>
    <t>China - Atos  IT (China) Co Ltd</t>
  </si>
  <si>
    <t>China - Atos Covics Business Sol Ltd</t>
  </si>
  <si>
    <t>Curaçao</t>
  </si>
  <si>
    <t>China - Atos Info Tech (CN) - CTD</t>
  </si>
  <si>
    <t>China - Atos Origin IT Ltd  Shanghai</t>
  </si>
  <si>
    <t>China - Atos Origin IT Shanghai</t>
  </si>
  <si>
    <t>China - Atos Worldgrid Info Technology</t>
  </si>
  <si>
    <t>China - Atos Worldline (China) Co Ltd</t>
  </si>
  <si>
    <t>China - Bull Inf Syst (Beijing) Co.Ltd</t>
  </si>
  <si>
    <t>China - RTS Info Consult (Chengdu) Ltd</t>
  </si>
  <si>
    <t>Colombia - Atos Invest 20 CO</t>
  </si>
  <si>
    <t>Colombia - Atos IT Solutions and Services</t>
  </si>
  <si>
    <t>Croatia - Atos IT Sol and Serv d.o.o.</t>
  </si>
  <si>
    <t>Croatia - Bull d.o.o.</t>
  </si>
  <si>
    <t>Czech Republic - Atos Czech Republic</t>
  </si>
  <si>
    <t>Czech Republic - Bull s.r.o</t>
  </si>
  <si>
    <t>Falkland Islands (malvinas)</t>
  </si>
  <si>
    <t>Czech Republic - KB Smartpay  (Czech Republic)</t>
  </si>
  <si>
    <t>Faroe Islands</t>
  </si>
  <si>
    <t>Czech Republic - Origin/Ceska Republika Sro</t>
  </si>
  <si>
    <t>Denmark - Atos IT Solutions and Services</t>
  </si>
  <si>
    <t>Egypt - Atos IT SAE</t>
  </si>
  <si>
    <t>Estonia - Atos IT Solutions and Services</t>
  </si>
  <si>
    <t>French Guiana</t>
  </si>
  <si>
    <t>Executive</t>
  </si>
  <si>
    <t>French Polynesia</t>
  </si>
  <si>
    <t>f</t>
  </si>
  <si>
    <t>French Southern Territories</t>
  </si>
  <si>
    <t>Finland - Atos IT Sol and Serv Oy</t>
  </si>
  <si>
    <t>fgf</t>
  </si>
  <si>
    <t>France - AEMS Holding SAS</t>
  </si>
  <si>
    <t>Gambia</t>
  </si>
  <si>
    <t>France - Agarik SAS</t>
  </si>
  <si>
    <t>France - Amesys</t>
  </si>
  <si>
    <t>France - Amesys Conseil</t>
  </si>
  <si>
    <t>France - Amesys Conseil Montpellier</t>
  </si>
  <si>
    <t>Gibraltar</t>
  </si>
  <si>
    <t>France - Amesys International</t>
  </si>
  <si>
    <t>France - Amesys Réseau Sécurité et Serv</t>
  </si>
  <si>
    <t>Greenland</t>
  </si>
  <si>
    <t>France - Arema SAS</t>
  </si>
  <si>
    <t>France - Atos A2B</t>
  </si>
  <si>
    <t>Guadeloupe</t>
  </si>
  <si>
    <t>France - Atos Consulting SAS</t>
  </si>
  <si>
    <t>Guam</t>
  </si>
  <si>
    <t>France - Atos Euronext Payment S.</t>
  </si>
  <si>
    <t>France - Atos Formation</t>
  </si>
  <si>
    <t>Guernsey</t>
  </si>
  <si>
    <t>France - Atos Infogérance</t>
  </si>
  <si>
    <t>France - Atos Intégration</t>
  </si>
  <si>
    <t>Guinea-bissau</t>
  </si>
  <si>
    <t>France - Atos International</t>
  </si>
  <si>
    <t>France - AtoS IT Solut. Serv. SAS</t>
  </si>
  <si>
    <t>France - Atos Management France</t>
  </si>
  <si>
    <t>Heard Island And Mcdonald Islands</t>
  </si>
  <si>
    <t>France - Atos Orig. Inexis Conseil</t>
  </si>
  <si>
    <t>Holy See</t>
  </si>
  <si>
    <t>France - Atos Origin 2IS SA</t>
  </si>
  <si>
    <t>France - Atos Origin Es</t>
  </si>
  <si>
    <t>France - Atos Origin Intég. BFA</t>
  </si>
  <si>
    <t>AWL NLFrance - Atos Origin Multimedia</t>
  </si>
  <si>
    <t>France - Atos Origin Multimedia</t>
  </si>
  <si>
    <t>France - Atos Participation 1</t>
  </si>
  <si>
    <t>France - ATOS SE</t>
  </si>
  <si>
    <t>France - Atos Segif</t>
  </si>
  <si>
    <t>France - Atos Service/Communication</t>
  </si>
  <si>
    <t>France - Atos Services</t>
  </si>
  <si>
    <t>Isle of Man</t>
  </si>
  <si>
    <t>France - Atos TéléPilotage Informatique</t>
  </si>
  <si>
    <t>France - Atos Teleservices</t>
  </si>
  <si>
    <t>France - Atos Worldgrid</t>
  </si>
  <si>
    <t>France - Atos Worldline Fi Mkt SAS</t>
  </si>
  <si>
    <t>France - Atos Worldline PSI SAS</t>
  </si>
  <si>
    <t>Jersey</t>
  </si>
  <si>
    <t>France - BLUEKIWI SOFTWARE</t>
  </si>
  <si>
    <t>France - Bourse Connect SA</t>
  </si>
  <si>
    <t>France - BULL  INTERNATIONAL S.A.S</t>
  </si>
  <si>
    <t>France - Bull Consultancy Agency</t>
  </si>
  <si>
    <t>France - BULL SA</t>
  </si>
  <si>
    <t>France - Bull SAS</t>
  </si>
  <si>
    <t>France - CANOPY France</t>
  </si>
  <si>
    <t>France - DIAMIS</t>
  </si>
  <si>
    <t>France - Elexo</t>
  </si>
  <si>
    <t>France - Evidian</t>
  </si>
  <si>
    <t>France - Experian  DMS</t>
  </si>
  <si>
    <t>France - FastConnect</t>
  </si>
  <si>
    <t>France - Gapi</t>
  </si>
  <si>
    <t>France - Mantis SAS</t>
  </si>
  <si>
    <t>France - MARBEN PRODUCTS</t>
  </si>
  <si>
    <t>France - Monemag</t>
  </si>
  <si>
    <t>France - Netseenergy SAS</t>
  </si>
  <si>
    <t>Macao</t>
  </si>
  <si>
    <t>France - NYSE Euronext Technology</t>
  </si>
  <si>
    <t>France - SA</t>
  </si>
  <si>
    <t>France - SANTEOS</t>
  </si>
  <si>
    <t>France - Sema ITS</t>
  </si>
  <si>
    <t>France - Sema Telecom</t>
  </si>
  <si>
    <t>France - Serviware</t>
  </si>
  <si>
    <t>France - SGS</t>
  </si>
  <si>
    <t>France - SIMILO</t>
  </si>
  <si>
    <t>France - SIRUS</t>
  </si>
  <si>
    <t>Martinique</t>
  </si>
  <si>
    <t>France - SNT</t>
  </si>
  <si>
    <t>France - Time Reversal Communications</t>
  </si>
  <si>
    <t>France - WORLDLINE</t>
  </si>
  <si>
    <t>Mayotte</t>
  </si>
  <si>
    <t>France - YUNANO SAS</t>
  </si>
  <si>
    <t>Gabon - Bull Gabon</t>
  </si>
  <si>
    <t>Germany - Applied Intl Informatics GmbH</t>
  </si>
  <si>
    <t>Germany - Atos Info. Technology GmbH</t>
  </si>
  <si>
    <t>Germany - Atos International Germ.</t>
  </si>
  <si>
    <t>Montserrat</t>
  </si>
  <si>
    <t>Germany - Atos IT Dienstleistung &amp; Bera</t>
  </si>
  <si>
    <t>Germany - Atos IT Services</t>
  </si>
  <si>
    <t>Germany - Atos IT Sol and Serv GmbH</t>
  </si>
  <si>
    <t>Myanmar</t>
  </si>
  <si>
    <t>Germany - Atos Origin IS GmbH</t>
  </si>
  <si>
    <t>Germany - Atos Support GmbH</t>
  </si>
  <si>
    <t>Germany - Atos Worldline Processing</t>
  </si>
  <si>
    <t>Germany - Bull Engineering Services GmbH</t>
  </si>
  <si>
    <t>Germany - Bull GmbH (Germany)</t>
  </si>
  <si>
    <t>Germany - Canopy the Open Cloud Company</t>
  </si>
  <si>
    <t>New Caledonia</t>
  </si>
  <si>
    <t>Germany - energy4u GmbHSdn Bhd</t>
  </si>
  <si>
    <t>Germany - Evidian GmbH</t>
  </si>
  <si>
    <t>Germany - NewCo GmbH</t>
  </si>
  <si>
    <t>Germany - OPP Deutschland BGAG</t>
  </si>
  <si>
    <t>Germany - Science+Computing AG</t>
  </si>
  <si>
    <t>Niue</t>
  </si>
  <si>
    <t>Germany - Wivertis GmbH</t>
  </si>
  <si>
    <t>Norfolk Island</t>
  </si>
  <si>
    <t>Germany - Worldline GmbH</t>
  </si>
  <si>
    <t>Germany - Worldline Holding GmbH</t>
  </si>
  <si>
    <t>Northern Mariana Islands</t>
  </si>
  <si>
    <t>Great Britain - AEMS Ltd</t>
  </si>
  <si>
    <t>Great Britain - Atos  IT Services UK Limited</t>
  </si>
  <si>
    <t>Occupied Palestinian Territory</t>
  </si>
  <si>
    <t>Great Britain - ATOS APF Scotland GP Limited</t>
  </si>
  <si>
    <t>Great Britain - ATOS APF Scotland LP</t>
  </si>
  <si>
    <t>Great Britain - ATOS ASPS Scotland GP Limited</t>
  </si>
  <si>
    <t>Great Britain - ATOS ASPS Scotland LP</t>
  </si>
  <si>
    <t>Great Britain - ATOS BPS Limited</t>
  </si>
  <si>
    <t>Great Britain - Atos Consulting Limited</t>
  </si>
  <si>
    <t>Great Britain - Atos Esprit Limited</t>
  </si>
  <si>
    <t>Great Britain - Atos IT Outsourcing Svcs Ltd</t>
  </si>
  <si>
    <t>Great Britain - Atos IT Solutions and Serv Ltd</t>
  </si>
  <si>
    <t>Pitcairn</t>
  </si>
  <si>
    <t>Great Britain - Atos Origin Compower Ltd</t>
  </si>
  <si>
    <t>Great Britain - Atos Rest. Techn. Serv. UK Ltd</t>
  </si>
  <si>
    <t>Great Britain - ATOS Scotland CS LimitedGP Limited</t>
  </si>
  <si>
    <t>Great Britain - ATOS Scotland CS Limite GP Limited</t>
  </si>
  <si>
    <t>Puerto Rico</t>
  </si>
  <si>
    <t>Great Britain - ATOS Scotland GP LimitedLP</t>
  </si>
  <si>
    <t>Great Britain - Atos UK International Services</t>
  </si>
  <si>
    <t>Republic of Moldova</t>
  </si>
  <si>
    <t>Great Britain - ATOS UK IT HOLDINGS LTd GP Limited</t>
  </si>
  <si>
    <t>Great Britain - ATOS UK IT HOLDINGS LTD GP Limited</t>
  </si>
  <si>
    <t>Republic of the Congo</t>
  </si>
  <si>
    <t>Great Britain - Atos UK IT Limited</t>
  </si>
  <si>
    <t>Réunion</t>
  </si>
  <si>
    <t>Great Britain - Atos Worldline (UK) Ltd</t>
  </si>
  <si>
    <t>Great Britain - Bull Financial Services Limite</t>
  </si>
  <si>
    <t>Great Britain - Bull Holdings Limited</t>
  </si>
  <si>
    <t>Great Britain - Bull Information Systems LtdU.</t>
  </si>
  <si>
    <t>Great Britain - Bull Information Systems Ltd.U.</t>
  </si>
  <si>
    <t>Saint Barthelemy</t>
  </si>
  <si>
    <t>Great Britain - Bull ND Holdings LimitedNL</t>
  </si>
  <si>
    <t>Great Britain - Bull ND Holdings Limited NL</t>
  </si>
  <si>
    <t>Saint Helena</t>
  </si>
  <si>
    <t>Great Britain - Canopy Cloud Limited</t>
  </si>
  <si>
    <t>Saint Kitts And Nevis</t>
  </si>
  <si>
    <t>Great Britain - Canopy Trading UK</t>
  </si>
  <si>
    <t>Great Britain - Canopy Trading UKm SA</t>
  </si>
  <si>
    <t>Great Britain - Tuscan Connects Ltd</t>
  </si>
  <si>
    <t>Saint Martin</t>
  </si>
  <si>
    <t>Greece - Atos  Hellas IT Services SA</t>
  </si>
  <si>
    <t>Saint Pierre And Miquelon</t>
  </si>
  <si>
    <t>Greece - Neo Irakleio</t>
  </si>
  <si>
    <t>Saint Vincent And The Grenadines</t>
  </si>
  <si>
    <t>Guatemala - Luis R. Sierra Escobedo</t>
  </si>
  <si>
    <t>Samoa</t>
  </si>
  <si>
    <t>Hong Kong - Atos Info. Technology HK Ltd</t>
  </si>
  <si>
    <t>Hong Kong - Atos Origin IT Services(HK)Ltd</t>
  </si>
  <si>
    <t>Sao Tome And Principe</t>
  </si>
  <si>
    <t>Hong Kong - Worldline Int'l (HK) Co. Ltd.</t>
  </si>
  <si>
    <t>Hungary - Atos IT Solutions and Services</t>
  </si>
  <si>
    <t>Hungary - Bull Magyarorszag</t>
  </si>
  <si>
    <t>India - Atos Global IT Sol &amp; Ser P.Ltd</t>
  </si>
  <si>
    <t>Indonesia - PT Worldline Int. Indonesia</t>
  </si>
  <si>
    <t>India - Atos India Private Limited</t>
  </si>
  <si>
    <t>Ireland - ACS Ireland Limited</t>
  </si>
  <si>
    <t>India - Atos IT Sol and Serv Pvt Ltd</t>
  </si>
  <si>
    <t>Ireland - Atos IT Solutions and Serv Ltd</t>
  </si>
  <si>
    <t>India - Atos Origin ITS Pte Ltd</t>
  </si>
  <si>
    <t>Ireland - Bull Information Systems Ireld</t>
  </si>
  <si>
    <t>India - One to One Marketing Solu</t>
  </si>
  <si>
    <t>Israel - Atos Invest 20 IL br</t>
  </si>
  <si>
    <t>India - Sema Soft. India Pte Ltd</t>
  </si>
  <si>
    <t>Italy - Atos International Srl</t>
  </si>
  <si>
    <t>India - Worldline India Pvt. Ltd.</t>
  </si>
  <si>
    <t>Italy - Atos Italia S.p.A.SAS</t>
  </si>
  <si>
    <t>India - XBS IT Services Private Ltd</t>
  </si>
  <si>
    <t>Italy - Atos Worldgrid S.p.A.</t>
  </si>
  <si>
    <t>Italy - Engineering.IT. S.p.A</t>
  </si>
  <si>
    <t>South Georgia And The South Sandwich Islands</t>
  </si>
  <si>
    <t>Italy - Setesi Spa</t>
  </si>
  <si>
    <t>Italy - SISEV scrl</t>
  </si>
  <si>
    <t>Italy - Unify S.p.A.</t>
  </si>
  <si>
    <t>Spain</t>
  </si>
  <si>
    <t>Ivory Coast (Cote D'Ivoire) - Bull Côte d’Ivoire</t>
  </si>
  <si>
    <t>Japan - Atos KK</t>
  </si>
  <si>
    <t>Italy - Atos Italia S.p.A.</t>
  </si>
  <si>
    <t>Japan - Evidian-Bull Japan KK</t>
  </si>
  <si>
    <t>Lebanon - Bull SAL</t>
  </si>
  <si>
    <t>Svalbard And Jan Mayen</t>
  </si>
  <si>
    <t>Lithuania - UAB « Bull Baltija »</t>
  </si>
  <si>
    <t>Swaziland</t>
  </si>
  <si>
    <t>Luxembourg - Atos IT Sol and Serv Financ SA</t>
  </si>
  <si>
    <t>Luxembourg - Atos Luxembourg PSF</t>
  </si>
  <si>
    <t>Luxembourg - Atos Luxembourg, Succursale</t>
  </si>
  <si>
    <t>Luxembourg - Bull SA succursale LU</t>
  </si>
  <si>
    <t>Luxembourg - Cap 2</t>
  </si>
  <si>
    <t>Luxembourg - Orco House</t>
  </si>
  <si>
    <t>Thailand</t>
  </si>
  <si>
    <t>Luxembourg - WORLDLINE LUXEMBOURG</t>
  </si>
  <si>
    <t>The Democratic Republic of Congo</t>
  </si>
  <si>
    <t>Madagascar - Bull Madagascar SA</t>
  </si>
  <si>
    <t>Timor-leste</t>
  </si>
  <si>
    <t>Malaysia - Atos ITS (Malaysia) Sdn Bhd</t>
  </si>
  <si>
    <t>Malaysia - Atos Origin (Gemini) Sdn BhD</t>
  </si>
  <si>
    <t>Tokelau</t>
  </si>
  <si>
    <t>Malaysia - Atos Services (M) Sdn Bhd</t>
  </si>
  <si>
    <t>Malaysia - Worldline Int. (MY) Sdn Bhd</t>
  </si>
  <si>
    <t>Trinidad And Tobago</t>
  </si>
  <si>
    <t>Mali - Ets Bull Mali</t>
  </si>
  <si>
    <t>Mexico - Atos Glob Del Ctr MX</t>
  </si>
  <si>
    <t>Mexico - Atos IT Bsn Serv S de RL de CV</t>
  </si>
  <si>
    <t>Mexico - Atos IT Sol &amp; Serv S RL de CV</t>
  </si>
  <si>
    <t>Turks And Caicos Islands</t>
  </si>
  <si>
    <t>Mexico - AtosOrigin ITServices(MX)</t>
  </si>
  <si>
    <t>Morocco - Atos IT Services</t>
  </si>
  <si>
    <t>U.S. Virgin Islands</t>
  </si>
  <si>
    <t>Morocco - Atos ITS Nshore Center Maroc</t>
  </si>
  <si>
    <t>Morocco - Bull Maroc</t>
  </si>
  <si>
    <t>Netherlands - Atos  Banking Services B.V.</t>
  </si>
  <si>
    <t>Netherlands - Atos  IT Services NL B.V.</t>
  </si>
  <si>
    <t>Netherlands - Atos  IT Systems Mgt NL B.V.</t>
  </si>
  <si>
    <t>United States</t>
  </si>
  <si>
    <t>Netherlands - Atos  Nederland B.V.</t>
  </si>
  <si>
    <t>United States Minor Outlying Islands</t>
  </si>
  <si>
    <t>Netherlands - Atos  Telco Services BV</t>
  </si>
  <si>
    <t>Netherlands - Atos Consulting NV</t>
  </si>
  <si>
    <t>Netherlands - Atos End User Serv. NL</t>
  </si>
  <si>
    <t>Netherlands - Atos Euronext Connect BV</t>
  </si>
  <si>
    <t>Netherlands - Atos FITS BV</t>
  </si>
  <si>
    <t>Netherlands - Atos Interim Management BV</t>
  </si>
  <si>
    <t>Wallis And Futuna</t>
  </si>
  <si>
    <t>Netherlands - Atos International B.V.</t>
  </si>
  <si>
    <t>Western Sahara</t>
  </si>
  <si>
    <t>Netherlands - Atos International BV</t>
  </si>
  <si>
    <t>Netherlands - Atos IT Sol and Serv B.V.</t>
  </si>
  <si>
    <t>Netherlands - Atos Research Dev &amp; Alliance</t>
  </si>
  <si>
    <t>Zimbabwe</t>
  </si>
  <si>
    <t>Netherlands - AWL NL</t>
  </si>
  <si>
    <t>Netherlands - Bull Nederland NV</t>
  </si>
  <si>
    <t>Netherlands - Canopy Cloud Nederland BV</t>
  </si>
  <si>
    <t>Netherlands - Technical Automation BV</t>
  </si>
  <si>
    <t>New Caledonia (French) - NewCaledonia</t>
  </si>
  <si>
    <t>New Zealand - Atos (New Zealand) Limited</t>
  </si>
  <si>
    <t>Non-Executive</t>
  </si>
  <si>
    <t>Norway - Atos Origin Norge AS</t>
  </si>
  <si>
    <t>Peru - Bull Peru</t>
  </si>
  <si>
    <t>Philippines - Atos Global Delivery Center PH</t>
  </si>
  <si>
    <t>Philippines - Atos Info Technology Inc.</t>
  </si>
  <si>
    <t>Poland - AMG.lab Limited</t>
  </si>
  <si>
    <t>Poland - AMG.net</t>
  </si>
  <si>
    <t>Poland - AO Support Services</t>
  </si>
  <si>
    <t>Poland - Atos  IT Services SP ZOO</t>
  </si>
  <si>
    <t>Poland - Atos IT Solutions and Services</t>
  </si>
  <si>
    <t>Poland - Atos Origin Sp.z.o.o.</t>
  </si>
  <si>
    <t>Poland - Bull Polska Sp. Z.o.o</t>
  </si>
  <si>
    <t>Polynesia (French) - FR Polynesia</t>
  </si>
  <si>
    <t>Portugal - ATOS IT Sol&amp;Serv Unipesso</t>
  </si>
  <si>
    <t>Portugal - Atos Origin Portuguesa</t>
  </si>
  <si>
    <t>Portugal - Atos Portugal</t>
  </si>
  <si>
    <t>Puerto Rico - Atos Puerto Rico</t>
  </si>
  <si>
    <t>Qatar - ATOS Qatar LLC</t>
  </si>
  <si>
    <t>Romania - Atos IT Solutions and Serv srl</t>
  </si>
  <si>
    <t>Romania - Atos IT Solutions and Service</t>
  </si>
  <si>
    <t>Romania - Banka Postanska…</t>
  </si>
  <si>
    <t>Romania - Brasov</t>
  </si>
  <si>
    <t>Romania - Bull Romania SRL</t>
  </si>
  <si>
    <t>Romania - Eurobank</t>
  </si>
  <si>
    <t>Romania - MSK</t>
  </si>
  <si>
    <t>Russian Federation - AO Investissement 19</t>
  </si>
  <si>
    <t>Russian Federation - Atos Investissement 19 MSC</t>
  </si>
  <si>
    <t>Russian Federation - ATOS IT Solutions and Service</t>
  </si>
  <si>
    <t>Russian Federation - Unify Russia</t>
  </si>
  <si>
    <t>Saudi Arabia - Atos Saudi Arabia LLC</t>
  </si>
  <si>
    <t>Senegal - Atos Sénégal</t>
  </si>
  <si>
    <t>Senegal - Bull Sénégal</t>
  </si>
  <si>
    <t>Siemens IT Solutions and Servi</t>
  </si>
  <si>
    <t>Singapore - Amesys Singapore Pte. Ltd</t>
  </si>
  <si>
    <t>Singapore - Atos IT (S) Pte Ltd</t>
  </si>
  <si>
    <t>Singapore - Canopy Private Limited</t>
  </si>
  <si>
    <t>Singapore - Siemens IT Solutions and Servi</t>
  </si>
  <si>
    <t>Singapore - Worldline (S) Pte Ltd</t>
  </si>
  <si>
    <t>Slovak Republic - Atos IT Solutions and Services</t>
  </si>
  <si>
    <t>Slovenia - addIT Dienstleistg.GmbH &amp; CoKG</t>
  </si>
  <si>
    <t>South Africa - ACS South Africa Ltd</t>
  </si>
  <si>
    <t>South Africa - Atos (Pty) Ltd</t>
  </si>
  <si>
    <t>South Korea - Atos IT (S) Pte Ltd - KOREA Br</t>
  </si>
  <si>
    <t>South Korea - Atos Spain S.A. Korea Branch</t>
  </si>
  <si>
    <t>Spain - Atos  CyL Spain S.L.U.</t>
  </si>
  <si>
    <t>Spain - Atos Consulting Canarias S.A.U</t>
  </si>
  <si>
    <t>Spain - Atos IT Sol &amp; Serv Holding SL</t>
  </si>
  <si>
    <t>Spain - ATOS IT Solut. Serv. Iber. S.L</t>
  </si>
  <si>
    <t>Spain - Atos Spain S.A.</t>
  </si>
  <si>
    <t>Spain - ATOS WorldGrid, S.L.</t>
  </si>
  <si>
    <t>Spain - Bull (España) SA</t>
  </si>
  <si>
    <t>Spain - C. de Tecn. Informaticas, S.A.</t>
  </si>
  <si>
    <t>Spain - Desarrollo  Aplic. Espec. S.A.</t>
  </si>
  <si>
    <t>Spain - Group Technic Informatic, S.A.</t>
  </si>
  <si>
    <t>Spain - Infoservicios, S.A.</t>
  </si>
  <si>
    <t>Spain - MSL Technology, S.L.</t>
  </si>
  <si>
    <t>Spain - Mundivia S.A.</t>
  </si>
  <si>
    <t>Spain - SICONET INGENIEROS, S.A.</t>
  </si>
  <si>
    <t>Spain - Unify Coms S.A.U.</t>
  </si>
  <si>
    <t>Spain - Worldline Iberia SA</t>
  </si>
  <si>
    <t>Sr. Executive</t>
  </si>
  <si>
    <t>Suspended</t>
  </si>
  <si>
    <t>Sweden - Atos Consulting AB</t>
  </si>
  <si>
    <t>Sweden - Atos IT Solutions and Services</t>
  </si>
  <si>
    <t>Sweden - Atos Origin AB</t>
  </si>
  <si>
    <t>Sweden - Atos Origin Norr AB</t>
  </si>
  <si>
    <t>Sweden - Atos Origin PA-konsult AB</t>
  </si>
  <si>
    <t>Switzerland - Atos AG</t>
  </si>
  <si>
    <t>Switzerland - Atos IT Solutions and Serv AG</t>
  </si>
  <si>
    <t>Switzerland - Atos Origin ITS Suisse SA</t>
  </si>
  <si>
    <t>Switzerland - Atos Origin Telco (CH)</t>
  </si>
  <si>
    <t>Switzerland - Atos Telco Serv BV - CH Branch</t>
  </si>
  <si>
    <t>Switzerland - Bull (Schweiz) AG</t>
  </si>
  <si>
    <t>Switzerland - Cambridge Technology Partners</t>
  </si>
  <si>
    <t>Switzerland - Canopy GmbH</t>
  </si>
  <si>
    <t>Switzerland - Destiny Holding SA</t>
  </si>
  <si>
    <t>Taiwan - Atos (Taiwan) Ltd</t>
  </si>
  <si>
    <t>Taiwan - Atos Worldline (TW) Ltd</t>
  </si>
  <si>
    <t>Taiwan - Bull Inf. Syst. (Taïwan) Ltd</t>
  </si>
  <si>
    <t>Terminated</t>
  </si>
  <si>
    <t>Thailand - Atos IT Solutions and Services</t>
  </si>
  <si>
    <t>Thailand - Atos Origin (Th) Ltd</t>
  </si>
  <si>
    <t>Tunisia - Bull SA Tunisia</t>
  </si>
  <si>
    <t>Turkey - Atos IT Consulting Serv Indust</t>
  </si>
  <si>
    <t>United Arab Emirates - Atos AbuDhabi Branch</t>
  </si>
  <si>
    <t>United Arab Emirates - Atos DHCC Branch</t>
  </si>
  <si>
    <t>United Arab Emirates - Atos Dubai (Jabel Ali FZE)</t>
  </si>
  <si>
    <t>United Arab Emirates - Atos Dubai Branch</t>
  </si>
  <si>
    <t>United States - AddressVision Inc</t>
  </si>
  <si>
    <t>United States - Agilera Messaging</t>
  </si>
  <si>
    <t>United States - Agilera, LLC</t>
  </si>
  <si>
    <t>United States - Atos Appli Mgt Sces</t>
  </si>
  <si>
    <t>United States - Atos Gov IT Out Sces</t>
  </si>
  <si>
    <t>United States - Atos Healthcare Sces</t>
  </si>
  <si>
    <t>United States - Atos IT Out Sces</t>
  </si>
  <si>
    <t>United States - Atos IT Solutions</t>
  </si>
  <si>
    <t>United States - Atos IT Solutions &amp; Services</t>
  </si>
  <si>
    <t>United States - Atos IT Solutions and Services</t>
  </si>
  <si>
    <t>United States - Atos Origin ITS Inc.</t>
  </si>
  <si>
    <t>United States - Atos Outs Sol, LLC</t>
  </si>
  <si>
    <t>United States - Atos RTS LLC</t>
  </si>
  <si>
    <t>United States - Bull Data Systems Inc.</t>
  </si>
  <si>
    <t>United States - Bull HN Information Systems In</t>
  </si>
  <si>
    <t>United States - Canopy the Open Cloud Company</t>
  </si>
  <si>
    <t>United States - Evidian Systems Inc.</t>
  </si>
  <si>
    <t>United States - NYSE EURONEXT Inc</t>
  </si>
  <si>
    <t>Uruguay - Bull Uruguay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</si>
</sst>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 #,##0.00_ ;_ * \-#,##0.00_ ;_ * &quot;-&quot;??_ ;_ @_ "/>
    <numFmt numFmtId="165" formatCode="_-* #,##0.00\ _€_-;\-* #,##0.00\ _€_-;_-* &quot;-&quot;??\ _€_-;_-@_-"/>
    <numFmt numFmtId="166" formatCode="[$-40C]d\-mmm\-yy;@"/>
    <numFmt numFmtId="167" formatCode="[$-40C]d\-mmm\-yyyy;@"/>
    <numFmt numFmtId="168" formatCode="[$-409]d\-mmm\-yyyy;@"/>
    <numFmt numFmtId="169" formatCode="#,##0\ _€"/>
    <numFmt numFmtId="170" formatCode="_-* #,##0_-;\-* #,##0_-;_-* &quot;-&quot;??_-;_-@_-"/>
    <numFmt numFmtId="171" formatCode="#,##0.0000"/>
    <numFmt numFmtId="172" formatCode="dd/mm/yyyy;@"/>
    <numFmt numFmtId="173" formatCode="[$-F800]dddd\,\ mmmm\ dd\,\ yyyy"/>
  </numFmts>
  <fonts count="59" x14ac:knownFonts="1">
    <font>
      <sz val="10"/>
      <color theme="1"/>
      <name val="Arial"/>
      <family val="2"/>
    </font>
    <font>
      <sz val="10"/>
      <color theme="1"/>
      <name val="Arial"/>
      <family val="2"/>
    </font>
    <font>
      <b/>
      <sz val="10"/>
      <color theme="1"/>
      <name val="Arial"/>
      <family val="2"/>
    </font>
    <font>
      <sz val="11"/>
      <color theme="1"/>
      <name val="Calibri"/>
      <family val="2"/>
      <scheme val="minor"/>
    </font>
    <font>
      <b/>
      <sz val="11"/>
      <color theme="1"/>
      <name val="Calibri"/>
      <family val="2"/>
      <scheme val="minor"/>
    </font>
    <font>
      <sz val="10"/>
      <name val="Arial"/>
      <family val="2"/>
    </font>
    <font>
      <u/>
      <sz val="10"/>
      <color indexed="12"/>
      <name val="Arial"/>
      <family val="2"/>
    </font>
    <font>
      <b/>
      <sz val="12"/>
      <color theme="1"/>
      <name val="Calibri"/>
      <family val="2"/>
      <scheme val="minor"/>
    </font>
    <font>
      <u/>
      <sz val="10"/>
      <color theme="10"/>
      <name val="Arial"/>
      <family val="2"/>
    </font>
    <font>
      <b/>
      <sz val="9"/>
      <color theme="1"/>
      <name val="Arial"/>
      <family val="2"/>
    </font>
    <font>
      <sz val="11"/>
      <color theme="1"/>
      <name val="Arial"/>
      <family val="2"/>
    </font>
    <font>
      <b/>
      <sz val="11"/>
      <color rgb="FFFF0000"/>
      <name val="Calibri"/>
      <family val="2"/>
      <scheme val="minor"/>
    </font>
    <font>
      <sz val="11"/>
      <name val="Calibri"/>
      <family val="2"/>
      <scheme val="minor"/>
    </font>
    <font>
      <b/>
      <u/>
      <sz val="11"/>
      <color rgb="FFFF0000"/>
      <name val="Calibri"/>
      <family val="2"/>
      <scheme val="minor"/>
    </font>
    <font>
      <b/>
      <sz val="11"/>
      <name val="Calibri"/>
      <family val="2"/>
      <scheme val="minor"/>
    </font>
    <font>
      <b/>
      <sz val="16"/>
      <color theme="1"/>
      <name val="Arial"/>
      <family val="2"/>
    </font>
    <font>
      <b/>
      <sz val="18"/>
      <color theme="1"/>
      <name val="Arial"/>
      <family val="2"/>
    </font>
    <font>
      <sz val="9"/>
      <color indexed="81"/>
      <name val="Tahoma"/>
      <family val="2"/>
    </font>
    <font>
      <b/>
      <sz val="9"/>
      <color indexed="81"/>
      <name val="Tahoma"/>
      <family val="2"/>
    </font>
    <font>
      <b/>
      <sz val="10"/>
      <name val="Arial"/>
      <family val="2"/>
    </font>
    <font>
      <b/>
      <sz val="10"/>
      <color theme="3"/>
      <name val="Arial"/>
      <family val="2"/>
    </font>
    <font>
      <sz val="10"/>
      <color theme="3"/>
      <name val="Arial"/>
      <family val="2"/>
    </font>
    <font>
      <b/>
      <u/>
      <sz val="10"/>
      <color theme="3"/>
      <name val="Arial"/>
      <family val="2"/>
    </font>
    <font>
      <u/>
      <sz val="10"/>
      <color theme="3"/>
      <name val="Arial"/>
      <family val="2"/>
    </font>
    <font>
      <i/>
      <sz val="10"/>
      <color theme="3"/>
      <name val="Arial"/>
      <family val="2"/>
    </font>
    <font>
      <b/>
      <sz val="14"/>
      <color rgb="FFFF0000"/>
      <name val="Arial"/>
      <family val="2"/>
    </font>
    <font>
      <b/>
      <sz val="10"/>
      <color theme="8" tint="-0.249977111117893"/>
      <name val="Arial"/>
      <family val="2"/>
    </font>
    <font>
      <strike/>
      <sz val="10"/>
      <color theme="1"/>
      <name val="Arial"/>
      <family val="2"/>
    </font>
    <font>
      <sz val="10"/>
      <color rgb="FF000000"/>
      <name val="Arial"/>
      <family val="2"/>
    </font>
    <font>
      <b/>
      <sz val="10"/>
      <color rgb="FFFF0000"/>
      <name val="Arial"/>
      <family val="2"/>
    </font>
    <font>
      <b/>
      <sz val="11"/>
      <color rgb="FFCC0099"/>
      <name val="Arial"/>
      <family val="2"/>
    </font>
    <font>
      <b/>
      <sz val="11"/>
      <color rgb="FFCC0099"/>
      <name val="Calibri"/>
      <family val="2"/>
      <scheme val="minor"/>
    </font>
    <font>
      <b/>
      <sz val="10"/>
      <color rgb="FFCC0099"/>
      <name val="Arial"/>
      <family val="2"/>
    </font>
    <font>
      <sz val="10"/>
      <color rgb="FFCC0099"/>
      <name val="Arial"/>
      <family val="2"/>
    </font>
    <font>
      <b/>
      <sz val="12"/>
      <color rgb="FFCC0099"/>
      <name val="Calibri"/>
      <family val="2"/>
      <scheme val="minor"/>
    </font>
    <font>
      <b/>
      <sz val="12"/>
      <color rgb="FFCC0099"/>
      <name val="Arial"/>
      <family val="2"/>
    </font>
    <font>
      <b/>
      <sz val="12"/>
      <color theme="1"/>
      <name val="Arial"/>
      <family val="2"/>
    </font>
    <font>
      <b/>
      <sz val="11"/>
      <color theme="1"/>
      <name val="Arial"/>
      <family val="2"/>
    </font>
    <font>
      <sz val="11"/>
      <color rgb="FF000000"/>
      <name val="Arial"/>
      <family val="2"/>
    </font>
    <font>
      <b/>
      <sz val="12"/>
      <name val="Arial"/>
      <family val="2"/>
    </font>
    <font>
      <b/>
      <sz val="11"/>
      <name val="Arial"/>
      <family val="2"/>
    </font>
    <font>
      <b/>
      <sz val="11"/>
      <color rgb="FFFF0000"/>
      <name val="Arial"/>
      <family val="2"/>
    </font>
    <font>
      <b/>
      <sz val="14"/>
      <name val="Arial"/>
      <family val="2"/>
    </font>
    <font>
      <b/>
      <u/>
      <sz val="11"/>
      <name val="Arial"/>
      <family val="2"/>
    </font>
    <font>
      <sz val="11"/>
      <name val="Arial"/>
      <family val="2"/>
    </font>
    <font>
      <i/>
      <sz val="11"/>
      <name val="Arial"/>
      <family val="2"/>
    </font>
    <font>
      <i/>
      <u/>
      <sz val="11"/>
      <name val="Arial"/>
      <family val="2"/>
    </font>
    <font>
      <b/>
      <i/>
      <sz val="11"/>
      <name val="Arial"/>
      <family val="2"/>
    </font>
    <font>
      <b/>
      <i/>
      <sz val="10"/>
      <name val="Arial"/>
      <family val="2"/>
    </font>
    <font>
      <b/>
      <i/>
      <sz val="16"/>
      <color theme="1"/>
      <name val="Arial"/>
      <family val="2"/>
    </font>
    <font>
      <sz val="10"/>
      <color indexed="8"/>
      <name val="Arial"/>
      <family val="2"/>
    </font>
    <font>
      <sz val="20"/>
      <color theme="1"/>
      <name val="Arial"/>
      <family val="2"/>
    </font>
    <font>
      <b/>
      <sz val="11"/>
      <color rgb="FF000000"/>
      <name val="Arial"/>
      <family val="2"/>
    </font>
    <font>
      <b/>
      <sz val="14"/>
      <color rgb="FF000000"/>
      <name val="Arial"/>
      <family val="2"/>
    </font>
    <font>
      <b/>
      <sz val="14"/>
      <color theme="1"/>
      <name val="Calibri"/>
      <family val="2"/>
      <scheme val="minor"/>
    </font>
    <font>
      <b/>
      <sz val="14"/>
      <color theme="1"/>
      <name val="Arial"/>
      <family val="2"/>
    </font>
    <font>
      <b/>
      <sz val="10"/>
      <color rgb="FF000000"/>
      <name val="Arial"/>
      <family val="2"/>
    </font>
    <font>
      <sz val="11"/>
      <color rgb="FF000000"/>
      <name val="Calibri"/>
      <family val="2"/>
    </font>
    <font>
      <b/>
      <sz val="11"/>
      <color rgb="FF000000"/>
      <name val="Calibri"/>
      <family val="2"/>
    </font>
  </fonts>
  <fills count="21">
    <fill>
      <patternFill patternType="none"/>
    </fill>
    <fill>
      <patternFill patternType="gray125"/>
    </fill>
    <fill>
      <patternFill patternType="solid">
        <fgColor theme="0" tint="-0.34998626667073579"/>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FCCCC"/>
        <bgColor indexed="64"/>
      </patternFill>
    </fill>
    <fill>
      <patternFill patternType="solid">
        <fgColor them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99FFCC"/>
        <bgColor indexed="64"/>
      </patternFill>
    </fill>
    <fill>
      <patternFill patternType="solid">
        <fgColor rgb="FF99FF99"/>
        <bgColor indexed="64"/>
      </patternFill>
    </fill>
    <fill>
      <patternFill patternType="solid">
        <fgColor theme="5" tint="0.59999389629810485"/>
        <bgColor indexed="64"/>
      </patternFill>
    </fill>
    <fill>
      <patternFill patternType="solid">
        <fgColor rgb="FFFFFFCC"/>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B1A0C7"/>
        <bgColor indexed="64"/>
      </patternFill>
    </fill>
    <fill>
      <patternFill patternType="solid">
        <fgColor rgb="FFDA9694"/>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double">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double">
        <color rgb="FFCC0099"/>
      </left>
      <right style="double">
        <color rgb="FFCC0099"/>
      </right>
      <top style="double">
        <color rgb="FFCC0099"/>
      </top>
      <bottom style="double">
        <color rgb="FFCC0099"/>
      </bottom>
      <diagonal/>
    </border>
    <border>
      <left/>
      <right style="double">
        <color rgb="FFCC0099"/>
      </right>
      <top style="double">
        <color rgb="FFCC0099"/>
      </top>
      <bottom style="thin">
        <color indexed="64"/>
      </bottom>
      <diagonal/>
    </border>
    <border>
      <left/>
      <right style="double">
        <color rgb="FFCC0099"/>
      </right>
      <top style="thin">
        <color indexed="64"/>
      </top>
      <bottom style="thin">
        <color indexed="64"/>
      </bottom>
      <diagonal/>
    </border>
    <border>
      <left/>
      <right style="double">
        <color rgb="FFCC0099"/>
      </right>
      <top style="thin">
        <color indexed="64"/>
      </top>
      <bottom style="double">
        <color rgb="FFCC0099"/>
      </bottom>
      <diagonal/>
    </border>
    <border>
      <left/>
      <right/>
      <top style="double">
        <color rgb="FFCC0099"/>
      </top>
      <bottom style="thin">
        <color indexed="64"/>
      </bottom>
      <diagonal/>
    </border>
    <border>
      <left/>
      <right/>
      <top style="thin">
        <color indexed="64"/>
      </top>
      <bottom style="double">
        <color rgb="FFCC0099"/>
      </bottom>
      <diagonal/>
    </border>
    <border>
      <left style="double">
        <color rgb="FFCC0099"/>
      </left>
      <right style="double">
        <color rgb="FFCC0099"/>
      </right>
      <top style="double">
        <color rgb="FFCC0099"/>
      </top>
      <bottom style="thin">
        <color indexed="64"/>
      </bottom>
      <diagonal/>
    </border>
    <border>
      <left style="double">
        <color rgb="FFCC0099"/>
      </left>
      <right style="double">
        <color rgb="FFCC0099"/>
      </right>
      <top style="thin">
        <color indexed="64"/>
      </top>
      <bottom style="thin">
        <color indexed="64"/>
      </bottom>
      <diagonal/>
    </border>
    <border>
      <left style="double">
        <color rgb="FFCC0099"/>
      </left>
      <right style="double">
        <color rgb="FFCC0099"/>
      </right>
      <top style="thin">
        <color indexed="64"/>
      </top>
      <bottom style="double">
        <color rgb="FFCC0099"/>
      </bottom>
      <diagonal/>
    </border>
    <border>
      <left style="double">
        <color rgb="FFCC0099"/>
      </left>
      <right/>
      <top style="double">
        <color rgb="FFCC0099"/>
      </top>
      <bottom style="double">
        <color rgb="FFCC0099"/>
      </bottom>
      <diagonal/>
    </border>
    <border>
      <left/>
      <right style="double">
        <color rgb="FFCC0099"/>
      </right>
      <top style="double">
        <color rgb="FFCC0099"/>
      </top>
      <bottom style="double">
        <color rgb="FFCC0099"/>
      </bottom>
      <diagonal/>
    </border>
    <border>
      <left style="double">
        <color rgb="FFCC0099"/>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9">
    <xf numFmtId="0" fontId="0" fillId="0" borderId="0"/>
    <xf numFmtId="165" fontId="1" fillId="0" borderId="0" applyFont="0" applyFill="0" applyBorder="0" applyAlignment="0" applyProtection="0"/>
    <xf numFmtId="0" fontId="3" fillId="0" borderId="0"/>
    <xf numFmtId="0" fontId="5" fillId="0" borderId="0"/>
    <xf numFmtId="0" fontId="6" fillId="0" borderId="0" applyNumberFormat="0" applyFill="0" applyBorder="0" applyAlignment="0" applyProtection="0">
      <alignment vertical="top"/>
      <protection locked="0"/>
    </xf>
    <xf numFmtId="0" fontId="8" fillId="0" borderId="0" applyNumberForma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9" fontId="5" fillId="0" borderId="0" applyFont="0" applyFill="0" applyBorder="0" applyAlignment="0" applyProtection="0"/>
  </cellStyleXfs>
  <cellXfs count="402">
    <xf numFmtId="0" fontId="0" fillId="0" borderId="0" xfId="0"/>
    <xf numFmtId="0" fontId="0" fillId="0" borderId="0" xfId="0" applyProtection="1">
      <protection locked="0"/>
    </xf>
    <xf numFmtId="0" fontId="0" fillId="3" borderId="15" xfId="0" applyFill="1" applyBorder="1"/>
    <xf numFmtId="0" fontId="7" fillId="3" borderId="0" xfId="0" applyFont="1" applyFill="1"/>
    <xf numFmtId="0" fontId="2" fillId="3" borderId="0" xfId="0" applyFont="1" applyFill="1" applyAlignment="1">
      <alignment horizontal="center" vertical="center"/>
    </xf>
    <xf numFmtId="0" fontId="0" fillId="9" borderId="18" xfId="0" applyFill="1" applyBorder="1"/>
    <xf numFmtId="0" fontId="0" fillId="9" borderId="16" xfId="0" applyFill="1" applyBorder="1"/>
    <xf numFmtId="0" fontId="0" fillId="2" borderId="0" xfId="0" applyFill="1"/>
    <xf numFmtId="0" fontId="4" fillId="9" borderId="18" xfId="0" applyFont="1" applyFill="1" applyBorder="1"/>
    <xf numFmtId="0" fontId="0" fillId="9" borderId="17" xfId="0" applyFill="1" applyBorder="1"/>
    <xf numFmtId="0" fontId="4" fillId="8" borderId="0" xfId="0" applyFont="1" applyFill="1"/>
    <xf numFmtId="0" fontId="0" fillId="9" borderId="14" xfId="0" applyFill="1" applyBorder="1"/>
    <xf numFmtId="169" fontId="0" fillId="9" borderId="0" xfId="0" applyNumberFormat="1" applyFill="1" applyAlignment="1">
      <alignment horizontal="center" vertical="center"/>
    </xf>
    <xf numFmtId="0" fontId="0" fillId="4" borderId="1" xfId="0" applyFill="1" applyBorder="1"/>
    <xf numFmtId="0" fontId="4" fillId="4" borderId="1" xfId="0" applyFont="1" applyFill="1" applyBorder="1" applyAlignment="1">
      <alignment horizontal="left"/>
    </xf>
    <xf numFmtId="169" fontId="0" fillId="4" borderId="1" xfId="0" applyNumberFormat="1" applyFill="1" applyBorder="1" applyAlignment="1">
      <alignment horizontal="center" vertical="center"/>
    </xf>
    <xf numFmtId="0" fontId="4" fillId="6" borderId="1" xfId="0" applyFont="1" applyFill="1" applyBorder="1"/>
    <xf numFmtId="0" fontId="4" fillId="7" borderId="1" xfId="0" applyFont="1" applyFill="1" applyBorder="1" applyAlignment="1">
      <alignment horizontal="left"/>
    </xf>
    <xf numFmtId="169" fontId="0" fillId="7" borderId="1" xfId="0" applyNumberFormat="1" applyFill="1" applyBorder="1" applyAlignment="1">
      <alignment horizontal="center" vertical="center"/>
    </xf>
    <xf numFmtId="169" fontId="3" fillId="7" borderId="1" xfId="1" applyNumberFormat="1" applyFont="1" applyFill="1" applyBorder="1" applyAlignment="1">
      <alignment horizontal="center" vertical="center"/>
    </xf>
    <xf numFmtId="0" fontId="0" fillId="6" borderId="1" xfId="0" applyFill="1" applyBorder="1"/>
    <xf numFmtId="169" fontId="0" fillId="6" borderId="1" xfId="0" applyNumberFormat="1" applyFill="1" applyBorder="1" applyAlignment="1">
      <alignment horizontal="center" vertical="center"/>
    </xf>
    <xf numFmtId="0" fontId="0" fillId="7" borderId="1" xfId="0" applyFill="1" applyBorder="1"/>
    <xf numFmtId="169" fontId="4" fillId="4" borderId="26" xfId="1" applyNumberFormat="1" applyFont="1" applyFill="1" applyBorder="1" applyAlignment="1">
      <alignment horizontal="center" vertical="center"/>
    </xf>
    <xf numFmtId="0" fontId="0" fillId="3" borderId="1" xfId="0" applyFill="1" applyBorder="1"/>
    <xf numFmtId="0" fontId="11" fillId="3" borderId="1" xfId="0" applyFont="1" applyFill="1" applyBorder="1" applyAlignment="1">
      <alignment horizontal="left"/>
    </xf>
    <xf numFmtId="169" fontId="0" fillId="3" borderId="1" xfId="0" applyNumberFormat="1" applyFill="1" applyBorder="1" applyAlignment="1" applyProtection="1">
      <alignment horizontal="center" vertical="center"/>
      <protection locked="0"/>
    </xf>
    <xf numFmtId="169" fontId="12" fillId="3" borderId="1" xfId="0" applyNumberFormat="1" applyFont="1" applyFill="1" applyBorder="1" applyAlignment="1">
      <alignment horizontal="center" vertical="center"/>
    </xf>
    <xf numFmtId="0" fontId="13" fillId="3" borderId="1" xfId="0" applyFont="1" applyFill="1" applyBorder="1" applyAlignment="1">
      <alignment horizontal="left"/>
    </xf>
    <xf numFmtId="169" fontId="0" fillId="3" borderId="1" xfId="0" applyNumberFormat="1" applyFill="1" applyBorder="1" applyAlignment="1">
      <alignment horizontal="center" vertical="center"/>
    </xf>
    <xf numFmtId="0" fontId="12" fillId="3" borderId="1" xfId="0" applyFont="1" applyFill="1" applyBorder="1" applyAlignment="1">
      <alignment horizontal="left"/>
    </xf>
    <xf numFmtId="0" fontId="0" fillId="3" borderId="1" xfId="0" applyFill="1" applyBorder="1" applyAlignment="1">
      <alignment horizontal="left"/>
    </xf>
    <xf numFmtId="0" fontId="14" fillId="3" borderId="1" xfId="0" applyFont="1" applyFill="1" applyBorder="1" applyAlignment="1">
      <alignment horizontal="left"/>
    </xf>
    <xf numFmtId="0" fontId="4" fillId="3" borderId="1" xfId="0" applyFont="1" applyFill="1" applyBorder="1" applyAlignment="1">
      <alignment horizontal="left"/>
    </xf>
    <xf numFmtId="0" fontId="13" fillId="3" borderId="1" xfId="0" applyFont="1" applyFill="1" applyBorder="1"/>
    <xf numFmtId="0" fontId="4" fillId="3" borderId="12" xfId="0" applyFont="1" applyFill="1" applyBorder="1" applyAlignment="1">
      <alignment horizontal="left"/>
    </xf>
    <xf numFmtId="169" fontId="0" fillId="3" borderId="0" xfId="0" applyNumberFormat="1" applyFill="1" applyAlignment="1">
      <alignment horizontal="center" vertical="center"/>
    </xf>
    <xf numFmtId="169" fontId="3" fillId="3" borderId="1" xfId="1" applyNumberFormat="1" applyFont="1" applyFill="1" applyBorder="1" applyAlignment="1">
      <alignment horizontal="center" vertical="center"/>
    </xf>
    <xf numFmtId="0" fontId="0" fillId="3" borderId="25" xfId="0" applyFill="1" applyBorder="1"/>
    <xf numFmtId="169" fontId="0" fillId="3" borderId="25" xfId="0" applyNumberFormat="1" applyFill="1" applyBorder="1" applyAlignment="1">
      <alignment horizontal="center" vertical="center"/>
    </xf>
    <xf numFmtId="169" fontId="3" fillId="3" borderId="25" xfId="1" applyNumberFormat="1" applyFont="1" applyFill="1" applyBorder="1" applyAlignment="1">
      <alignment horizontal="center" vertical="center"/>
    </xf>
    <xf numFmtId="0" fontId="4" fillId="8" borderId="22" xfId="0" applyFont="1" applyFill="1" applyBorder="1"/>
    <xf numFmtId="169" fontId="4" fillId="8" borderId="23" xfId="0" applyNumberFormat="1" applyFont="1" applyFill="1" applyBorder="1" applyAlignment="1">
      <alignment horizontal="center" vertical="center"/>
    </xf>
    <xf numFmtId="169" fontId="4" fillId="8" borderId="24" xfId="0" applyNumberFormat="1" applyFont="1" applyFill="1" applyBorder="1" applyAlignment="1">
      <alignment horizontal="center" vertical="center"/>
    </xf>
    <xf numFmtId="0" fontId="4" fillId="8" borderId="1" xfId="0" applyFont="1" applyFill="1" applyBorder="1"/>
    <xf numFmtId="169" fontId="4" fillId="8" borderId="1" xfId="0" applyNumberFormat="1" applyFont="1" applyFill="1" applyBorder="1" applyAlignment="1">
      <alignment horizontal="center" vertical="center"/>
    </xf>
    <xf numFmtId="169" fontId="4" fillId="8" borderId="1" xfId="1" applyNumberFormat="1" applyFont="1" applyFill="1" applyBorder="1" applyAlignment="1">
      <alignment horizontal="center" vertical="center"/>
    </xf>
    <xf numFmtId="169" fontId="3" fillId="3" borderId="0" xfId="1" applyNumberFormat="1" applyFont="1" applyFill="1" applyAlignment="1">
      <alignment horizontal="center" vertical="center"/>
    </xf>
    <xf numFmtId="164" fontId="0" fillId="9" borderId="18" xfId="0" applyNumberFormat="1" applyFill="1" applyBorder="1"/>
    <xf numFmtId="169" fontId="0" fillId="9" borderId="18" xfId="0" applyNumberFormat="1" applyFill="1" applyBorder="1"/>
    <xf numFmtId="170" fontId="0" fillId="9" borderId="18" xfId="0" applyNumberFormat="1" applyFill="1" applyBorder="1"/>
    <xf numFmtId="0" fontId="0" fillId="10" borderId="20" xfId="0" applyFill="1" applyBorder="1"/>
    <xf numFmtId="0" fontId="0" fillId="10" borderId="21" xfId="0" applyFill="1" applyBorder="1"/>
    <xf numFmtId="0" fontId="4" fillId="4" borderId="27" xfId="0" applyFont="1" applyFill="1" applyBorder="1"/>
    <xf numFmtId="169" fontId="4" fillId="4" borderId="28" xfId="0" applyNumberFormat="1" applyFont="1" applyFill="1" applyBorder="1" applyAlignment="1">
      <alignment horizontal="center" vertical="center"/>
    </xf>
    <xf numFmtId="0" fontId="0" fillId="9" borderId="19" xfId="0" applyFill="1" applyBorder="1"/>
    <xf numFmtId="0" fontId="15" fillId="9" borderId="0" xfId="0" applyFont="1" applyFill="1" applyAlignment="1">
      <alignment horizontal="right"/>
    </xf>
    <xf numFmtId="169" fontId="0" fillId="9" borderId="0" xfId="0" applyNumberFormat="1" applyFill="1" applyAlignment="1">
      <alignment vertical="center"/>
    </xf>
    <xf numFmtId="0" fontId="5" fillId="0" borderId="0" xfId="5" applyFont="1" applyAlignment="1">
      <alignment horizontal="left" vertical="center"/>
    </xf>
    <xf numFmtId="0" fontId="5" fillId="0" borderId="0" xfId="5" applyFont="1"/>
    <xf numFmtId="0" fontId="21" fillId="0" borderId="0" xfId="0" applyFont="1" applyAlignment="1">
      <alignment horizontal="left" vertical="center"/>
    </xf>
    <xf numFmtId="3" fontId="21" fillId="0" borderId="0" xfId="0" applyNumberFormat="1" applyFont="1" applyAlignment="1">
      <alignment horizontal="left" vertical="center"/>
    </xf>
    <xf numFmtId="0" fontId="21" fillId="4" borderId="0" xfId="0" applyFont="1" applyFill="1" applyAlignment="1">
      <alignment horizontal="left" vertical="center"/>
    </xf>
    <xf numFmtId="0" fontId="22" fillId="0" borderId="0" xfId="0" applyFont="1" applyAlignment="1">
      <alignment horizontal="left" vertical="center"/>
    </xf>
    <xf numFmtId="14" fontId="21" fillId="4" borderId="0" xfId="0" applyNumberFormat="1" applyFont="1" applyFill="1" applyAlignment="1">
      <alignment horizontal="left" vertical="center"/>
    </xf>
    <xf numFmtId="14" fontId="21" fillId="0" borderId="0" xfId="0" applyNumberFormat="1" applyFont="1" applyAlignment="1">
      <alignment horizontal="left" vertical="center"/>
    </xf>
    <xf numFmtId="3" fontId="21" fillId="4" borderId="0" xfId="0" applyNumberFormat="1" applyFont="1" applyFill="1" applyAlignment="1">
      <alignment horizontal="left" vertical="center"/>
    </xf>
    <xf numFmtId="0" fontId="21" fillId="0" borderId="0" xfId="0" quotePrefix="1" applyFont="1" applyAlignment="1">
      <alignment horizontal="left" vertical="center"/>
    </xf>
    <xf numFmtId="3" fontId="21" fillId="4" borderId="0" xfId="0" applyNumberFormat="1" applyFont="1" applyFill="1" applyAlignment="1">
      <alignment horizontal="center" vertical="center"/>
    </xf>
    <xf numFmtId="3" fontId="21" fillId="0" borderId="0" xfId="0" applyNumberFormat="1" applyFont="1" applyAlignment="1">
      <alignment horizontal="center" vertical="center"/>
    </xf>
    <xf numFmtId="171" fontId="21" fillId="4" borderId="0" xfId="0" applyNumberFormat="1" applyFont="1" applyFill="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1" fontId="21" fillId="4" borderId="0" xfId="0" applyNumberFormat="1" applyFont="1" applyFill="1" applyAlignment="1">
      <alignment horizontal="left" vertical="center"/>
    </xf>
    <xf numFmtId="0" fontId="21" fillId="0" borderId="0" xfId="0" applyFont="1" applyAlignment="1">
      <alignment horizontal="left" vertical="center" wrapText="1"/>
    </xf>
    <xf numFmtId="9" fontId="21" fillId="4" borderId="0" xfId="0" applyNumberFormat="1" applyFont="1" applyFill="1" applyAlignment="1">
      <alignment horizontal="center" vertical="center"/>
    </xf>
    <xf numFmtId="0" fontId="21" fillId="4" borderId="0" xfId="0" applyFont="1" applyFill="1" applyAlignment="1">
      <alignment horizontal="center" vertical="center"/>
    </xf>
    <xf numFmtId="10" fontId="21" fillId="4" borderId="0" xfId="0" applyNumberFormat="1" applyFont="1" applyFill="1" applyAlignment="1">
      <alignment horizontal="center" vertical="center"/>
    </xf>
    <xf numFmtId="0" fontId="24" fillId="0" borderId="0" xfId="0" quotePrefix="1" applyFont="1" applyAlignment="1">
      <alignment horizontal="left" vertical="center"/>
    </xf>
    <xf numFmtId="0" fontId="21" fillId="0" borderId="0" xfId="0" applyFont="1"/>
    <xf numFmtId="49" fontId="21" fillId="4" borderId="0" xfId="0" applyNumberFormat="1" applyFont="1" applyFill="1" applyAlignment="1">
      <alignment horizontal="left" vertical="center"/>
    </xf>
    <xf numFmtId="0" fontId="21" fillId="11" borderId="0" xfId="0" applyFont="1" applyFill="1" applyAlignment="1">
      <alignment horizontal="left" vertical="center"/>
    </xf>
    <xf numFmtId="0" fontId="21" fillId="3" borderId="0" xfId="0" applyFont="1" applyFill="1" applyAlignment="1">
      <alignment horizontal="left" vertical="center"/>
    </xf>
    <xf numFmtId="0" fontId="25" fillId="11" borderId="0" xfId="0" applyFont="1" applyFill="1" applyAlignment="1">
      <alignment horizontal="left" vertical="center"/>
    </xf>
    <xf numFmtId="0" fontId="2" fillId="3" borderId="0" xfId="0" applyFont="1" applyFill="1"/>
    <xf numFmtId="0" fontId="2" fillId="2" borderId="0" xfId="0" applyFont="1" applyFill="1"/>
    <xf numFmtId="0" fontId="0" fillId="3" borderId="0" xfId="0" applyFill="1"/>
    <xf numFmtId="0" fontId="2" fillId="3" borderId="0" xfId="0" applyFont="1" applyFill="1" applyAlignment="1" applyProtection="1">
      <alignment horizontal="center" vertical="center"/>
      <protection locked="0"/>
    </xf>
    <xf numFmtId="0" fontId="26" fillId="3" borderId="0" xfId="0" applyFont="1" applyFill="1"/>
    <xf numFmtId="0" fontId="0" fillId="2" borderId="0" xfId="0" applyFill="1" applyAlignment="1">
      <alignment vertical="top"/>
    </xf>
    <xf numFmtId="0" fontId="0" fillId="3" borderId="18" xfId="0" applyFill="1" applyBorder="1"/>
    <xf numFmtId="0" fontId="27" fillId="3" borderId="18" xfId="0" applyFont="1" applyFill="1" applyBorder="1"/>
    <xf numFmtId="0" fontId="27" fillId="2" borderId="0" xfId="0" applyFont="1" applyFill="1"/>
    <xf numFmtId="0" fontId="0" fillId="3" borderId="0" xfId="0" applyFill="1" applyProtection="1">
      <protection locked="0"/>
    </xf>
    <xf numFmtId="0" fontId="0" fillId="3" borderId="18" xfId="0" applyFill="1" applyBorder="1" applyProtection="1">
      <protection locked="0"/>
    </xf>
    <xf numFmtId="0" fontId="0" fillId="12" borderId="1" xfId="0" applyFill="1" applyBorder="1" applyAlignment="1" applyProtection="1">
      <alignment horizontal="center" vertical="center"/>
      <protection locked="0"/>
    </xf>
    <xf numFmtId="0" fontId="0" fillId="12" borderId="1" xfId="0" applyFill="1" applyBorder="1" applyAlignment="1" applyProtection="1">
      <alignment horizontal="center" vertical="center" wrapText="1"/>
      <protection locked="0"/>
    </xf>
    <xf numFmtId="0" fontId="0" fillId="3" borderId="35" xfId="0" applyFill="1" applyBorder="1" applyAlignment="1" applyProtection="1">
      <alignment horizontal="center" vertical="center"/>
      <protection locked="0"/>
    </xf>
    <xf numFmtId="0" fontId="0" fillId="3" borderId="36" xfId="0" applyFill="1" applyBorder="1" applyAlignment="1" applyProtection="1">
      <alignment horizontal="center" vertical="center"/>
      <protection locked="0"/>
    </xf>
    <xf numFmtId="0" fontId="0" fillId="3" borderId="37" xfId="0" applyFill="1" applyBorder="1" applyAlignment="1" applyProtection="1">
      <alignment horizontal="center" vertical="center"/>
      <protection locked="0"/>
    </xf>
    <xf numFmtId="0" fontId="32" fillId="3" borderId="0" xfId="0" applyFont="1" applyFill="1"/>
    <xf numFmtId="0" fontId="33" fillId="3" borderId="0" xfId="0" applyFont="1" applyFill="1"/>
    <xf numFmtId="0" fontId="28" fillId="13" borderId="1" xfId="0" applyFont="1" applyFill="1" applyBorder="1" applyAlignment="1">
      <alignment horizontal="justify" vertical="center" wrapText="1"/>
    </xf>
    <xf numFmtId="0" fontId="0" fillId="13" borderId="2" xfId="0" applyFill="1" applyBorder="1" applyAlignment="1">
      <alignment horizontal="left" vertical="center" wrapText="1"/>
    </xf>
    <xf numFmtId="0" fontId="4" fillId="13" borderId="4" xfId="0" applyFont="1" applyFill="1" applyBorder="1" applyProtection="1">
      <protection locked="0"/>
    </xf>
    <xf numFmtId="0" fontId="0" fillId="13" borderId="5" xfId="0" applyFill="1" applyBorder="1" applyProtection="1">
      <protection locked="0"/>
    </xf>
    <xf numFmtId="0" fontId="4" fillId="13" borderId="7" xfId="0" quotePrefix="1" applyFont="1" applyFill="1" applyBorder="1" applyProtection="1">
      <protection locked="0"/>
    </xf>
    <xf numFmtId="0" fontId="0" fillId="13" borderId="0" xfId="0" applyFill="1" applyProtection="1">
      <protection locked="0"/>
    </xf>
    <xf numFmtId="0" fontId="4" fillId="13" borderId="7" xfId="0" quotePrefix="1" applyFont="1" applyFill="1" applyBorder="1" applyAlignment="1" applyProtection="1">
      <alignment horizontal="left"/>
      <protection locked="0"/>
    </xf>
    <xf numFmtId="0" fontId="4" fillId="13" borderId="9" xfId="0" quotePrefix="1" applyFont="1" applyFill="1" applyBorder="1" applyAlignment="1" applyProtection="1">
      <alignment horizontal="left"/>
      <protection locked="0"/>
    </xf>
    <xf numFmtId="0" fontId="0" fillId="13" borderId="10" xfId="0" applyFill="1" applyBorder="1" applyProtection="1">
      <protection locked="0"/>
    </xf>
    <xf numFmtId="0" fontId="9" fillId="13" borderId="1" xfId="0" applyFont="1" applyFill="1" applyBorder="1" applyAlignment="1" applyProtection="1">
      <alignment horizontal="center" vertical="center"/>
      <protection locked="0"/>
    </xf>
    <xf numFmtId="0" fontId="9" fillId="13" borderId="1" xfId="0" applyFont="1" applyFill="1" applyBorder="1" applyAlignment="1" applyProtection="1">
      <alignment horizontal="center" vertical="center"/>
      <protection hidden="1"/>
    </xf>
    <xf numFmtId="0" fontId="32" fillId="3" borderId="15" xfId="0" applyFont="1" applyFill="1" applyBorder="1" applyAlignment="1" applyProtection="1">
      <alignment vertical="center"/>
      <protection locked="0"/>
    </xf>
    <xf numFmtId="0" fontId="33" fillId="3" borderId="15" xfId="0" applyFont="1" applyFill="1" applyBorder="1"/>
    <xf numFmtId="1" fontId="2" fillId="12" borderId="1" xfId="0" applyNumberFormat="1" applyFont="1" applyFill="1" applyBorder="1" applyAlignment="1" applyProtection="1">
      <alignment horizontal="center" vertical="center"/>
      <protection hidden="1"/>
    </xf>
    <xf numFmtId="1" fontId="19" fillId="12" borderId="1" xfId="0" applyNumberFormat="1" applyFont="1" applyFill="1" applyBorder="1" applyAlignment="1" applyProtection="1">
      <alignment horizontal="center" vertical="center"/>
      <protection hidden="1"/>
    </xf>
    <xf numFmtId="0" fontId="19" fillId="3" borderId="15" xfId="0" applyFont="1" applyFill="1" applyBorder="1" applyAlignment="1">
      <alignment horizontal="center" vertical="center"/>
    </xf>
    <xf numFmtId="0" fontId="19" fillId="3" borderId="15" xfId="0" applyFont="1" applyFill="1" applyBorder="1" applyAlignment="1" applyProtection="1">
      <alignment horizontal="center" vertical="center"/>
      <protection locked="0"/>
    </xf>
    <xf numFmtId="0" fontId="35" fillId="3" borderId="15" xfId="0" applyFont="1" applyFill="1" applyBorder="1" applyProtection="1">
      <protection locked="0"/>
    </xf>
    <xf numFmtId="0" fontId="0" fillId="3" borderId="15" xfId="0" applyFill="1" applyBorder="1" applyProtection="1">
      <protection locked="0"/>
    </xf>
    <xf numFmtId="0" fontId="36" fillId="3" borderId="0" xfId="0" applyFont="1" applyFill="1" applyProtection="1">
      <protection locked="0"/>
    </xf>
    <xf numFmtId="0" fontId="38" fillId="13" borderId="1" xfId="0" applyFont="1" applyFill="1" applyBorder="1" applyAlignment="1">
      <alignment horizontal="justify" vertical="center" wrapText="1"/>
    </xf>
    <xf numFmtId="0" fontId="0" fillId="13" borderId="2" xfId="0" applyFill="1" applyBorder="1" applyAlignment="1" applyProtection="1">
      <alignment horizontal="left" vertical="center" wrapText="1"/>
      <protection locked="0"/>
    </xf>
    <xf numFmtId="0" fontId="0" fillId="3" borderId="1" xfId="0" applyFill="1" applyBorder="1" applyAlignment="1" applyProtection="1">
      <alignment horizontal="center" vertical="center"/>
      <protection locked="0"/>
    </xf>
    <xf numFmtId="0" fontId="0" fillId="3" borderId="16" xfId="0" applyFill="1" applyBorder="1"/>
    <xf numFmtId="0" fontId="37" fillId="13" borderId="4" xfId="0" applyFont="1" applyFill="1" applyBorder="1" applyProtection="1">
      <protection locked="0"/>
    </xf>
    <xf numFmtId="0" fontId="0" fillId="5" borderId="6" xfId="0" applyFill="1" applyBorder="1"/>
    <xf numFmtId="0" fontId="37" fillId="13" borderId="7" xfId="0" quotePrefix="1" applyFont="1" applyFill="1" applyBorder="1" applyProtection="1">
      <protection locked="0"/>
    </xf>
    <xf numFmtId="0" fontId="0" fillId="5" borderId="8" xfId="0" applyFill="1" applyBorder="1"/>
    <xf numFmtId="0" fontId="37" fillId="13" borderId="7" xfId="0" quotePrefix="1" applyFont="1" applyFill="1" applyBorder="1" applyAlignment="1" applyProtection="1">
      <alignment horizontal="left"/>
      <protection locked="0"/>
    </xf>
    <xf numFmtId="0" fontId="37" fillId="13" borderId="9" xfId="0" quotePrefix="1" applyFont="1" applyFill="1" applyBorder="1" applyAlignment="1" applyProtection="1">
      <alignment horizontal="left"/>
      <protection locked="0"/>
    </xf>
    <xf numFmtId="0" fontId="0" fillId="5" borderId="11" xfId="0" applyFill="1" applyBorder="1"/>
    <xf numFmtId="0" fontId="39" fillId="3" borderId="0" xfId="0" applyFont="1" applyFill="1"/>
    <xf numFmtId="0" fontId="10" fillId="3" borderId="29" xfId="0" applyFont="1" applyFill="1" applyBorder="1" applyAlignment="1" applyProtection="1">
      <alignment horizontal="center" vertical="center"/>
      <protection locked="0"/>
    </xf>
    <xf numFmtId="0" fontId="2" fillId="0" borderId="0" xfId="0" applyFont="1"/>
    <xf numFmtId="1" fontId="29" fillId="3" borderId="0" xfId="0" applyNumberFormat="1" applyFont="1" applyFill="1" applyAlignment="1" applyProtection="1">
      <alignment horizontal="center" vertical="center"/>
      <protection hidden="1"/>
    </xf>
    <xf numFmtId="0" fontId="38" fillId="3" borderId="1" xfId="0" applyFont="1" applyFill="1" applyBorder="1" applyAlignment="1">
      <alignment horizontal="center" vertical="center" wrapText="1"/>
    </xf>
    <xf numFmtId="0" fontId="10" fillId="2" borderId="0" xfId="0" applyFont="1" applyFill="1"/>
    <xf numFmtId="0" fontId="0" fillId="2" borderId="0" xfId="0" applyFill="1" applyAlignment="1">
      <alignment horizontal="center" vertical="center"/>
    </xf>
    <xf numFmtId="0" fontId="40" fillId="10"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0" xfId="0" applyFont="1" applyFill="1" applyAlignment="1">
      <alignment horizontal="center" vertical="center"/>
    </xf>
    <xf numFmtId="0" fontId="5" fillId="3" borderId="1" xfId="0" quotePrefix="1" applyFont="1" applyFill="1" applyBorder="1" applyAlignment="1">
      <alignment horizontal="center" vertical="center"/>
    </xf>
    <xf numFmtId="0" fontId="5" fillId="3" borderId="17" xfId="0" applyFont="1" applyFill="1" applyBorder="1" applyAlignment="1">
      <alignment horizontal="center" vertical="center"/>
    </xf>
    <xf numFmtId="0" fontId="0" fillId="2" borderId="0" xfId="0" applyFill="1" applyAlignment="1">
      <alignment horizontal="left" vertical="top"/>
    </xf>
    <xf numFmtId="0" fontId="0" fillId="3" borderId="18" xfId="0" applyFill="1" applyBorder="1" applyAlignment="1" applyProtection="1">
      <alignment horizontal="center" vertical="center" wrapText="1"/>
      <protection locked="0"/>
    </xf>
    <xf numFmtId="0" fontId="51" fillId="7" borderId="0" xfId="0" applyFont="1" applyFill="1" applyAlignment="1">
      <alignment horizontal="center" vertical="center"/>
    </xf>
    <xf numFmtId="0" fontId="51" fillId="0" borderId="0" xfId="0" applyFont="1" applyAlignment="1">
      <alignment horizontal="center" vertical="center"/>
    </xf>
    <xf numFmtId="0" fontId="0" fillId="2" borderId="0" xfId="0" applyFill="1" applyAlignment="1">
      <alignment vertical="center"/>
    </xf>
    <xf numFmtId="0" fontId="0" fillId="2" borderId="1" xfId="0" applyFill="1" applyBorder="1"/>
    <xf numFmtId="0" fontId="0" fillId="2" borderId="2" xfId="0" applyFill="1" applyBorder="1"/>
    <xf numFmtId="166" fontId="0" fillId="3" borderId="1" xfId="0" applyNumberFormat="1" applyFill="1" applyBorder="1" applyAlignment="1" applyProtection="1">
      <alignment vertical="center" wrapText="1"/>
      <protection locked="0"/>
    </xf>
    <xf numFmtId="0" fontId="52" fillId="13" borderId="1" xfId="0" applyFont="1" applyFill="1" applyBorder="1" applyAlignment="1">
      <alignment horizontal="justify" vertical="center" wrapText="1"/>
    </xf>
    <xf numFmtId="0" fontId="53" fillId="13" borderId="1" xfId="0" applyFont="1" applyFill="1" applyBorder="1" applyAlignment="1">
      <alignment horizontal="center" vertical="center" wrapText="1"/>
    </xf>
    <xf numFmtId="0" fontId="0" fillId="3" borderId="10" xfId="0" applyFill="1" applyBorder="1" applyProtection="1">
      <protection locked="0"/>
    </xf>
    <xf numFmtId="0" fontId="52" fillId="0" borderId="12" xfId="0" applyFont="1" applyBorder="1" applyAlignment="1">
      <alignment horizontal="center" vertical="center" wrapText="1"/>
    </xf>
    <xf numFmtId="0" fontId="52" fillId="0" borderId="1" xfId="0" applyFont="1" applyBorder="1" applyAlignment="1">
      <alignment horizontal="center" vertical="center" wrapText="1"/>
    </xf>
    <xf numFmtId="0" fontId="54" fillId="3" borderId="0" xfId="0" applyFont="1" applyFill="1"/>
    <xf numFmtId="0" fontId="55" fillId="3" borderId="0" xfId="0" applyFont="1" applyFill="1"/>
    <xf numFmtId="0" fontId="0" fillId="13" borderId="9" xfId="0" applyFill="1" applyBorder="1" applyAlignment="1">
      <alignment horizontal="left" vertical="center" wrapText="1"/>
    </xf>
    <xf numFmtId="0" fontId="0" fillId="13" borderId="1" xfId="0" applyFill="1" applyBorder="1" applyAlignment="1">
      <alignment horizontal="left" vertical="center" wrapText="1"/>
    </xf>
    <xf numFmtId="0" fontId="0" fillId="13" borderId="9" xfId="0" applyFill="1" applyBorder="1" applyAlignment="1" applyProtection="1">
      <alignment horizontal="center" vertical="center" wrapText="1"/>
      <protection locked="0"/>
    </xf>
    <xf numFmtId="0" fontId="52" fillId="0" borderId="0" xfId="0" applyFont="1" applyAlignment="1">
      <alignment horizontal="center" vertical="center" wrapText="1"/>
    </xf>
    <xf numFmtId="0" fontId="0" fillId="12" borderId="12" xfId="0" applyFill="1" applyBorder="1" applyAlignment="1">
      <alignment vertical="center" wrapText="1"/>
    </xf>
    <xf numFmtId="0" fontId="0" fillId="12" borderId="12" xfId="0" applyFill="1" applyBorder="1" applyAlignment="1" applyProtection="1">
      <alignment vertical="center" wrapText="1"/>
      <protection locked="0"/>
    </xf>
    <xf numFmtId="0" fontId="0" fillId="12" borderId="1" xfId="0" applyFill="1" applyBorder="1" applyAlignment="1" applyProtection="1">
      <alignment vertical="center" wrapText="1"/>
      <protection locked="0"/>
    </xf>
    <xf numFmtId="0" fontId="27" fillId="3" borderId="1" xfId="0" applyFont="1" applyFill="1" applyBorder="1"/>
    <xf numFmtId="168" fontId="0" fillId="3" borderId="1" xfId="0" applyNumberFormat="1" applyFill="1" applyBorder="1" applyAlignment="1" applyProtection="1">
      <alignment vertical="center" wrapText="1"/>
      <protection locked="0"/>
    </xf>
    <xf numFmtId="0" fontId="9" fillId="13" borderId="12" xfId="0" applyFont="1" applyFill="1" applyBorder="1" applyAlignment="1" applyProtection="1">
      <alignment horizontal="center" vertical="center"/>
      <protection locked="0"/>
    </xf>
    <xf numFmtId="0" fontId="9" fillId="0" borderId="0" xfId="0" applyFont="1" applyAlignment="1" applyProtection="1">
      <alignment horizontal="center" vertical="center"/>
      <protection locked="0"/>
    </xf>
    <xf numFmtId="0" fontId="0" fillId="3" borderId="1" xfId="0" applyFill="1" applyBorder="1" applyAlignment="1" applyProtection="1">
      <alignment horizontal="center"/>
      <protection locked="0"/>
    </xf>
    <xf numFmtId="0" fontId="37" fillId="3" borderId="1" xfId="0" applyFont="1" applyFill="1" applyBorder="1" applyAlignment="1">
      <alignment horizontal="center" vertical="center"/>
    </xf>
    <xf numFmtId="0" fontId="38" fillId="13" borderId="42" xfId="0" applyFont="1" applyFill="1" applyBorder="1" applyAlignment="1">
      <alignment horizontal="justify" vertical="center" wrapText="1"/>
    </xf>
    <xf numFmtId="0" fontId="38" fillId="0" borderId="0" xfId="0" applyFont="1" applyAlignment="1">
      <alignment horizontal="justify" vertical="center" wrapText="1"/>
    </xf>
    <xf numFmtId="0" fontId="0" fillId="3" borderId="1" xfId="0" applyFill="1" applyBorder="1" applyAlignment="1" applyProtection="1">
      <alignment vertical="center" wrapText="1"/>
      <protection locked="0"/>
    </xf>
    <xf numFmtId="0" fontId="2" fillId="3" borderId="1" xfId="0" applyFont="1" applyFill="1" applyBorder="1" applyAlignment="1" applyProtection="1">
      <alignment horizontal="center" vertical="center" wrapText="1"/>
      <protection locked="0"/>
    </xf>
    <xf numFmtId="0" fontId="56" fillId="13" borderId="1" xfId="0" applyFont="1" applyFill="1" applyBorder="1" applyAlignment="1">
      <alignment horizontal="justify" vertical="center" wrapText="1"/>
    </xf>
    <xf numFmtId="166" fontId="2" fillId="2" borderId="0" xfId="0" applyNumberFormat="1" applyFont="1" applyFill="1" applyAlignment="1" applyProtection="1">
      <alignment vertical="center" wrapText="1"/>
      <protection locked="0"/>
    </xf>
    <xf numFmtId="0" fontId="50" fillId="0" borderId="0" xfId="3" applyFont="1" applyAlignment="1" applyProtection="1">
      <alignment horizontal="left" vertical="top" readingOrder="1"/>
      <protection locked="0"/>
    </xf>
    <xf numFmtId="0" fontId="50" fillId="0" borderId="0" xfId="0" applyFont="1" applyAlignment="1" applyProtection="1">
      <alignment horizontal="left" vertical="top" readingOrder="1"/>
      <protection locked="0"/>
    </xf>
    <xf numFmtId="173" fontId="0" fillId="3" borderId="1" xfId="0" applyNumberFormat="1" applyFill="1" applyBorder="1" applyAlignment="1" applyProtection="1">
      <alignment vertical="center" wrapText="1"/>
      <protection locked="0"/>
    </xf>
    <xf numFmtId="0" fontId="52" fillId="13" borderId="1" xfId="0" applyFont="1" applyFill="1" applyBorder="1" applyAlignment="1">
      <alignment horizontal="center" vertical="center" wrapText="1"/>
    </xf>
    <xf numFmtId="166" fontId="0" fillId="3" borderId="1" xfId="0" applyNumberFormat="1" applyFill="1" applyBorder="1" applyAlignment="1" applyProtection="1">
      <alignment horizontal="center" vertical="center" wrapText="1"/>
      <protection locked="0"/>
    </xf>
    <xf numFmtId="0" fontId="2" fillId="13" borderId="2" xfId="0" applyFont="1" applyFill="1" applyBorder="1" applyAlignment="1" applyProtection="1">
      <alignment horizontal="center" vertical="center" wrapText="1"/>
      <protection locked="0"/>
    </xf>
    <xf numFmtId="0" fontId="0" fillId="13" borderId="2" xfId="0" applyFill="1" applyBorder="1" applyAlignment="1" applyProtection="1">
      <alignment horizontal="center" vertical="center" wrapText="1"/>
      <protection locked="0"/>
    </xf>
    <xf numFmtId="172" fontId="0" fillId="3" borderId="1" xfId="0" applyNumberFormat="1" applyFill="1" applyBorder="1" applyAlignment="1" applyProtection="1">
      <alignment horizontal="center" vertical="center" wrapText="1"/>
      <protection locked="0"/>
    </xf>
    <xf numFmtId="0" fontId="19" fillId="3" borderId="13" xfId="0" applyFont="1" applyFill="1" applyBorder="1" applyAlignment="1" applyProtection="1">
      <alignment horizontal="center" vertical="center"/>
      <protection locked="0"/>
    </xf>
    <xf numFmtId="0" fontId="19" fillId="3" borderId="3" xfId="0" applyFont="1" applyFill="1" applyBorder="1" applyAlignment="1" applyProtection="1">
      <alignment horizontal="center" vertical="center"/>
      <protection locked="0"/>
    </xf>
    <xf numFmtId="0" fontId="0" fillId="3" borderId="2" xfId="0" applyFill="1" applyBorder="1" applyAlignment="1" applyProtection="1">
      <alignment horizontal="center" vertical="center" wrapText="1"/>
      <protection locked="0"/>
    </xf>
    <xf numFmtId="0" fontId="0" fillId="3" borderId="3" xfId="0" applyFill="1" applyBorder="1" applyAlignment="1" applyProtection="1">
      <alignment horizontal="center" vertical="center" wrapText="1"/>
      <protection locked="0"/>
    </xf>
    <xf numFmtId="0" fontId="2" fillId="3" borderId="15" xfId="0" applyFont="1" applyFill="1" applyBorder="1" applyAlignment="1" applyProtection="1">
      <alignment horizontal="center" wrapText="1"/>
      <protection locked="0"/>
    </xf>
    <xf numFmtId="0" fontId="0" fillId="3" borderId="16" xfId="0" applyFill="1" applyBorder="1" applyProtection="1">
      <protection locked="0"/>
    </xf>
    <xf numFmtId="0" fontId="0" fillId="2" borderId="0" xfId="0" applyFill="1" applyProtection="1">
      <protection locked="0"/>
    </xf>
    <xf numFmtId="0" fontId="4" fillId="16" borderId="4" xfId="0" applyFont="1" applyFill="1" applyBorder="1"/>
    <xf numFmtId="0" fontId="0" fillId="16" borderId="5" xfId="0" applyFill="1" applyBorder="1"/>
    <xf numFmtId="0" fontId="0" fillId="5" borderId="6" xfId="0" applyFill="1" applyBorder="1" applyProtection="1">
      <protection locked="0"/>
    </xf>
    <xf numFmtId="0" fontId="4" fillId="16" borderId="7" xfId="0" quotePrefix="1" applyFont="1" applyFill="1" applyBorder="1"/>
    <xf numFmtId="0" fontId="0" fillId="16" borderId="0" xfId="0" applyFill="1"/>
    <xf numFmtId="0" fontId="0" fillId="5" borderId="8" xfId="0" applyFill="1" applyBorder="1" applyProtection="1">
      <protection locked="0"/>
    </xf>
    <xf numFmtId="0" fontId="4" fillId="16" borderId="7" xfId="0" quotePrefix="1" applyFont="1" applyFill="1" applyBorder="1" applyAlignment="1">
      <alignment horizontal="left"/>
    </xf>
    <xf numFmtId="0" fontId="4" fillId="16" borderId="9" xfId="0" quotePrefix="1" applyFont="1" applyFill="1" applyBorder="1" applyAlignment="1">
      <alignment horizontal="left"/>
    </xf>
    <xf numFmtId="0" fontId="0" fillId="16" borderId="10" xfId="0" applyFill="1" applyBorder="1"/>
    <xf numFmtId="0" fontId="0" fillId="5" borderId="11" xfId="0" applyFill="1" applyBorder="1" applyProtection="1">
      <protection locked="0"/>
    </xf>
    <xf numFmtId="0" fontId="9" fillId="16" borderId="1" xfId="0" applyFont="1" applyFill="1" applyBorder="1" applyAlignment="1">
      <alignment horizontal="center" vertical="center"/>
    </xf>
    <xf numFmtId="1" fontId="2" fillId="17" borderId="1" xfId="0" applyNumberFormat="1" applyFont="1" applyFill="1" applyBorder="1" applyAlignment="1">
      <alignment horizontal="center" vertical="center"/>
    </xf>
    <xf numFmtId="0" fontId="9" fillId="16" borderId="1" xfId="0" applyFont="1" applyFill="1" applyBorder="1" applyAlignment="1">
      <alignment horizontal="center" vertical="center" wrapText="1"/>
    </xf>
    <xf numFmtId="0" fontId="9" fillId="17" borderId="1" xfId="0" applyFont="1" applyFill="1" applyBorder="1" applyAlignment="1">
      <alignment horizontal="center" vertical="center"/>
    </xf>
    <xf numFmtId="168" fontId="2" fillId="17" borderId="1" xfId="0" applyNumberFormat="1" applyFont="1" applyFill="1" applyBorder="1" applyAlignment="1">
      <alignment horizontal="center" vertical="center"/>
    </xf>
    <xf numFmtId="0" fontId="7" fillId="3" borderId="0" xfId="0" applyFont="1" applyFill="1" applyProtection="1">
      <protection locked="0"/>
    </xf>
    <xf numFmtId="0" fontId="57" fillId="4" borderId="1" xfId="0" applyFont="1" applyFill="1" applyBorder="1" applyAlignment="1">
      <alignment horizontal="justify" vertical="center" wrapText="1"/>
    </xf>
    <xf numFmtId="0" fontId="57" fillId="3" borderId="0" xfId="0" applyFont="1" applyFill="1" applyAlignment="1" applyProtection="1">
      <alignment horizontal="justify" vertical="center" wrapText="1"/>
      <protection locked="0"/>
    </xf>
    <xf numFmtId="0" fontId="57" fillId="18" borderId="3" xfId="0" applyFont="1" applyFill="1" applyBorder="1" applyAlignment="1">
      <alignment horizontal="left" vertical="center" wrapText="1"/>
    </xf>
    <xf numFmtId="0" fontId="0" fillId="3" borderId="20" xfId="0" applyFill="1" applyBorder="1" applyProtection="1">
      <protection locked="0"/>
    </xf>
    <xf numFmtId="0" fontId="0" fillId="3" borderId="21" xfId="0" applyFill="1" applyBorder="1" applyProtection="1">
      <protection locked="0"/>
    </xf>
    <xf numFmtId="14" fontId="9" fillId="12" borderId="1" xfId="0" applyNumberFormat="1" applyFont="1" applyFill="1" applyBorder="1" applyAlignment="1" applyProtection="1">
      <alignment horizontal="center" vertical="center"/>
      <protection hidden="1"/>
    </xf>
    <xf numFmtId="0" fontId="52" fillId="0" borderId="1" xfId="0" applyFont="1" applyBorder="1" applyAlignment="1">
      <alignment horizontal="justify" vertical="center" wrapText="1"/>
    </xf>
    <xf numFmtId="0" fontId="9" fillId="20" borderId="1" xfId="0" applyFont="1" applyFill="1" applyBorder="1" applyAlignment="1">
      <alignment horizontal="center" vertical="center"/>
    </xf>
    <xf numFmtId="0" fontId="57" fillId="20" borderId="1" xfId="0" applyFont="1" applyFill="1" applyBorder="1" applyAlignment="1">
      <alignment horizontal="justify" vertical="center" wrapText="1"/>
    </xf>
    <xf numFmtId="0" fontId="57" fillId="20" borderId="1" xfId="0" applyFont="1" applyFill="1" applyBorder="1" applyAlignment="1">
      <alignment horizontal="left" vertical="center" wrapText="1"/>
    </xf>
    <xf numFmtId="173" fontId="9" fillId="12" borderId="1" xfId="0" applyNumberFormat="1" applyFont="1" applyFill="1" applyBorder="1" applyAlignment="1" applyProtection="1">
      <alignment horizontal="center" vertical="center"/>
      <protection hidden="1"/>
    </xf>
    <xf numFmtId="1" fontId="9" fillId="12" borderId="1" xfId="0" applyNumberFormat="1" applyFont="1" applyFill="1" applyBorder="1" applyAlignment="1" applyProtection="1">
      <alignment horizontal="center" vertical="center"/>
      <protection locked="0"/>
    </xf>
    <xf numFmtId="168" fontId="9" fillId="12" borderId="1" xfId="0" applyNumberFormat="1" applyFont="1" applyFill="1" applyBorder="1" applyAlignment="1" applyProtection="1">
      <alignment horizontal="center" vertical="center"/>
      <protection hidden="1"/>
    </xf>
    <xf numFmtId="168" fontId="2" fillId="12" borderId="1" xfId="0" applyNumberFormat="1" applyFont="1" applyFill="1" applyBorder="1" applyAlignment="1" applyProtection="1">
      <alignment horizontal="center"/>
      <protection locked="0"/>
    </xf>
    <xf numFmtId="1" fontId="9" fillId="12" borderId="42" xfId="0" applyNumberFormat="1" applyFont="1" applyFill="1" applyBorder="1" applyAlignment="1" applyProtection="1">
      <alignment horizontal="center" vertical="center"/>
      <protection locked="0"/>
    </xf>
    <xf numFmtId="173" fontId="9" fillId="0" borderId="0" xfId="0" applyNumberFormat="1" applyFont="1" applyAlignment="1" applyProtection="1">
      <alignment vertical="center"/>
      <protection hidden="1"/>
    </xf>
    <xf numFmtId="14" fontId="2" fillId="12" borderId="1" xfId="0" applyNumberFormat="1" applyFont="1" applyFill="1" applyBorder="1" applyAlignment="1" applyProtection="1">
      <alignment horizontal="center"/>
      <protection locked="0"/>
    </xf>
    <xf numFmtId="1" fontId="9" fillId="3" borderId="0" xfId="0" applyNumberFormat="1" applyFont="1" applyFill="1" applyAlignment="1" applyProtection="1">
      <alignment horizontal="center" vertical="center"/>
      <protection hidden="1"/>
    </xf>
    <xf numFmtId="0" fontId="38" fillId="13" borderId="1" xfId="0" applyFont="1" applyFill="1" applyBorder="1" applyAlignment="1">
      <alignment horizontal="left" vertical="center" wrapText="1"/>
    </xf>
    <xf numFmtId="0" fontId="38" fillId="13" borderId="43" xfId="0" applyFont="1" applyFill="1" applyBorder="1" applyAlignment="1">
      <alignment horizontal="justify" vertical="center" wrapText="1"/>
    </xf>
    <xf numFmtId="0" fontId="38" fillId="13" borderId="1" xfId="0" applyFont="1" applyFill="1" applyBorder="1" applyAlignment="1">
      <alignment horizontal="justify" vertical="center"/>
    </xf>
    <xf numFmtId="1" fontId="9" fillId="12" borderId="42" xfId="0" applyNumberFormat="1" applyFont="1" applyFill="1" applyBorder="1" applyAlignment="1">
      <alignment horizontal="center" vertical="center"/>
    </xf>
    <xf numFmtId="0" fontId="9" fillId="0" borderId="1" xfId="0" applyFont="1" applyBorder="1" applyAlignment="1">
      <alignment horizontal="left" vertical="center"/>
    </xf>
    <xf numFmtId="0" fontId="0" fillId="0" borderId="1" xfId="0" applyBorder="1" applyAlignment="1">
      <alignment horizontal="left" vertical="center"/>
    </xf>
    <xf numFmtId="15" fontId="0" fillId="0" borderId="1" xfId="0" applyNumberFormat="1" applyBorder="1" applyAlignment="1">
      <alignment horizontal="left" vertical="center"/>
    </xf>
    <xf numFmtId="0" fontId="0" fillId="0" borderId="1" xfId="0" applyBorder="1" applyAlignment="1">
      <alignment horizontal="left" vertical="top"/>
    </xf>
    <xf numFmtId="0" fontId="31" fillId="3" borderId="0" xfId="0" applyFont="1" applyFill="1" applyProtection="1">
      <protection locked="0"/>
    </xf>
    <xf numFmtId="0" fontId="40" fillId="3" borderId="2" xfId="0" quotePrefix="1" applyFont="1" applyFill="1" applyBorder="1" applyAlignment="1">
      <alignment horizontal="center" vertical="center"/>
    </xf>
    <xf numFmtId="0" fontId="40" fillId="3" borderId="3" xfId="0" quotePrefix="1" applyFont="1" applyFill="1" applyBorder="1" applyAlignment="1">
      <alignment horizontal="center" vertical="center"/>
    </xf>
    <xf numFmtId="0" fontId="49" fillId="13" borderId="10" xfId="0" applyFont="1" applyFill="1" applyBorder="1" applyAlignment="1">
      <alignment horizontal="center" vertical="center"/>
    </xf>
    <xf numFmtId="0" fontId="48" fillId="3" borderId="2" xfId="0" applyFont="1" applyFill="1" applyBorder="1" applyAlignment="1">
      <alignment horizontal="center" vertical="center" wrapText="1"/>
    </xf>
    <xf numFmtId="0" fontId="42" fillId="3" borderId="13" xfId="0" applyFont="1" applyFill="1" applyBorder="1" applyAlignment="1">
      <alignment horizontal="center" vertical="center" wrapText="1"/>
    </xf>
    <xf numFmtId="0" fontId="43" fillId="14" borderId="2" xfId="0" applyFont="1" applyFill="1" applyBorder="1" applyAlignment="1">
      <alignment horizontal="center" vertical="center"/>
    </xf>
    <xf numFmtId="0" fontId="43" fillId="14" borderId="3" xfId="0" applyFont="1" applyFill="1" applyBorder="1" applyAlignment="1">
      <alignment horizontal="center" vertical="center"/>
    </xf>
    <xf numFmtId="0" fontId="44" fillId="3" borderId="2" xfId="0" applyFont="1" applyFill="1" applyBorder="1" applyAlignment="1">
      <alignment horizontal="center" vertical="center" wrapText="1"/>
    </xf>
    <xf numFmtId="0" fontId="44" fillId="3" borderId="3" xfId="0" applyFont="1" applyFill="1" applyBorder="1" applyAlignment="1">
      <alignment horizontal="center" vertical="center" wrapText="1"/>
    </xf>
    <xf numFmtId="0" fontId="40" fillId="15" borderId="2" xfId="0" applyFont="1" applyFill="1" applyBorder="1" applyAlignment="1">
      <alignment horizontal="center" vertical="center" wrapText="1"/>
    </xf>
    <xf numFmtId="0" fontId="40" fillId="15" borderId="3" xfId="0" applyFont="1" applyFill="1" applyBorder="1" applyAlignment="1">
      <alignment horizontal="center" vertical="center" wrapText="1"/>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41" fillId="3" borderId="13" xfId="0" quotePrefix="1" applyFont="1" applyFill="1" applyBorder="1" applyAlignment="1">
      <alignment horizontal="center" vertical="center" wrapText="1"/>
    </xf>
    <xf numFmtId="0" fontId="45" fillId="3" borderId="41" xfId="0" applyFont="1" applyFill="1" applyBorder="1" applyAlignment="1">
      <alignment horizontal="center" vertical="top" wrapText="1"/>
    </xf>
    <xf numFmtId="0" fontId="45" fillId="3" borderId="13" xfId="0" applyFont="1" applyFill="1" applyBorder="1" applyAlignment="1">
      <alignment horizontal="center" vertical="top" wrapText="1"/>
    </xf>
    <xf numFmtId="0" fontId="48" fillId="3" borderId="13" xfId="0" applyFont="1" applyFill="1" applyBorder="1" applyAlignment="1">
      <alignment horizontal="center" vertical="top" wrapText="1"/>
    </xf>
    <xf numFmtId="0" fontId="57" fillId="4" borderId="2" xfId="0" applyFont="1" applyFill="1" applyBorder="1" applyAlignment="1">
      <alignment horizontal="left" vertical="center" wrapText="1"/>
    </xf>
    <xf numFmtId="0" fontId="57" fillId="4" borderId="13" xfId="0" applyFont="1" applyFill="1" applyBorder="1" applyAlignment="1">
      <alignment horizontal="left" vertical="center" wrapText="1"/>
    </xf>
    <xf numFmtId="0" fontId="57" fillId="4" borderId="3" xfId="0" applyFont="1" applyFill="1" applyBorder="1" applyAlignment="1">
      <alignment horizontal="left" vertical="center" wrapText="1"/>
    </xf>
    <xf numFmtId="0" fontId="58" fillId="4" borderId="2" xfId="0" applyFont="1" applyFill="1" applyBorder="1" applyAlignment="1" applyProtection="1">
      <alignment horizontal="center" vertical="center" wrapText="1"/>
      <protection locked="0"/>
    </xf>
    <xf numFmtId="0" fontId="58" fillId="4" borderId="13" xfId="0" applyFont="1" applyFill="1" applyBorder="1" applyAlignment="1" applyProtection="1">
      <alignment horizontal="center" vertical="center" wrapText="1"/>
      <protection locked="0"/>
    </xf>
    <xf numFmtId="0" fontId="58" fillId="4" borderId="3" xfId="0" applyFont="1" applyFill="1" applyBorder="1" applyAlignment="1" applyProtection="1">
      <alignment horizontal="center" vertical="center" wrapText="1"/>
      <protection locked="0"/>
    </xf>
    <xf numFmtId="166" fontId="0" fillId="4" borderId="2" xfId="0" applyNumberFormat="1" applyFill="1" applyBorder="1" applyAlignment="1" applyProtection="1">
      <alignment horizontal="center" vertical="center" wrapText="1"/>
      <protection locked="0"/>
    </xf>
    <xf numFmtId="166" fontId="0" fillId="4" borderId="3" xfId="0" applyNumberFormat="1" applyFill="1" applyBorder="1" applyAlignment="1" applyProtection="1">
      <alignment horizontal="center" vertical="center" wrapText="1"/>
      <protection locked="0"/>
    </xf>
    <xf numFmtId="168" fontId="0" fillId="4" borderId="2" xfId="0" applyNumberFormat="1" applyFill="1" applyBorder="1" applyAlignment="1" applyProtection="1">
      <alignment horizontal="center" vertical="center" wrapText="1"/>
      <protection locked="0"/>
    </xf>
    <xf numFmtId="168" fontId="0" fillId="4" borderId="3" xfId="0" applyNumberForma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wrapText="1"/>
      <protection locked="0"/>
    </xf>
    <xf numFmtId="0" fontId="19" fillId="3" borderId="2" xfId="0" applyFont="1" applyFill="1" applyBorder="1" applyAlignment="1" applyProtection="1">
      <alignment horizontal="center" vertical="center"/>
      <protection locked="0"/>
    </xf>
    <xf numFmtId="0" fontId="19" fillId="3" borderId="13" xfId="0" applyFont="1" applyFill="1" applyBorder="1" applyAlignment="1" applyProtection="1">
      <alignment horizontal="center" vertical="center"/>
      <protection locked="0"/>
    </xf>
    <xf numFmtId="0" fontId="19" fillId="3" borderId="3" xfId="0" applyFont="1" applyFill="1" applyBorder="1" applyAlignment="1" applyProtection="1">
      <alignment horizontal="center" vertical="center"/>
      <protection locked="0"/>
    </xf>
    <xf numFmtId="0" fontId="36" fillId="3" borderId="0" xfId="0" applyFont="1" applyFill="1" applyAlignment="1" applyProtection="1">
      <alignment horizontal="center"/>
      <protection locked="0"/>
    </xf>
    <xf numFmtId="0" fontId="0" fillId="13" borderId="2" xfId="0" applyFill="1" applyBorder="1" applyAlignment="1" applyProtection="1">
      <alignment horizontal="center" vertical="center" wrapText="1"/>
      <protection locked="0"/>
    </xf>
    <xf numFmtId="0" fontId="0" fillId="13" borderId="13" xfId="0" applyFill="1" applyBorder="1" applyAlignment="1" applyProtection="1">
      <alignment horizontal="center" vertical="center" wrapText="1"/>
      <protection locked="0"/>
    </xf>
    <xf numFmtId="172" fontId="0" fillId="3" borderId="1" xfId="0" applyNumberFormat="1" applyFill="1" applyBorder="1" applyAlignment="1" applyProtection="1">
      <alignment horizontal="center" vertical="center" wrapText="1"/>
      <protection locked="0"/>
    </xf>
    <xf numFmtId="173" fontId="0" fillId="3" borderId="1" xfId="0" applyNumberFormat="1" applyFill="1" applyBorder="1" applyAlignment="1" applyProtection="1">
      <alignment horizontal="center" vertical="center" wrapText="1"/>
      <protection locked="0"/>
    </xf>
    <xf numFmtId="0" fontId="30" fillId="3" borderId="5" xfId="0" applyFont="1" applyFill="1" applyBorder="1" applyAlignment="1">
      <alignment horizontal="center" vertical="center" wrapText="1"/>
    </xf>
    <xf numFmtId="0" fontId="30" fillId="3" borderId="6" xfId="0" applyFont="1" applyFill="1" applyBorder="1" applyAlignment="1">
      <alignment horizontal="center" vertical="center" wrapText="1"/>
    </xf>
    <xf numFmtId="166" fontId="2" fillId="3" borderId="1" xfId="0" applyNumberFormat="1" applyFont="1" applyFill="1" applyBorder="1" applyAlignment="1" applyProtection="1">
      <alignment horizontal="center" vertical="center" wrapText="1"/>
      <protection locked="0"/>
    </xf>
    <xf numFmtId="0" fontId="2" fillId="13" borderId="2" xfId="0" applyFont="1" applyFill="1" applyBorder="1" applyAlignment="1" applyProtection="1">
      <alignment horizontal="center" vertical="center" wrapText="1"/>
      <protection locked="0"/>
    </xf>
    <xf numFmtId="0" fontId="2" fillId="13" borderId="13" xfId="0" applyFont="1" applyFill="1" applyBorder="1" applyAlignment="1" applyProtection="1">
      <alignment horizontal="center" vertical="center" wrapText="1"/>
      <protection locked="0"/>
    </xf>
    <xf numFmtId="0" fontId="0" fillId="0" borderId="2" xfId="0" applyBorder="1" applyAlignment="1">
      <alignment horizontal="center"/>
    </xf>
    <xf numFmtId="0" fontId="0" fillId="0" borderId="13" xfId="0" applyBorder="1" applyAlignment="1">
      <alignment horizontal="center"/>
    </xf>
    <xf numFmtId="0" fontId="5"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13" borderId="2" xfId="0" applyFill="1" applyBorder="1" applyAlignment="1">
      <alignment horizontal="center" vertical="center"/>
    </xf>
    <xf numFmtId="0" fontId="0" fillId="13" borderId="13" xfId="0" applyFill="1" applyBorder="1" applyAlignment="1">
      <alignment horizontal="center" vertical="center"/>
    </xf>
    <xf numFmtId="0" fontId="0" fillId="13" borderId="3" xfId="0" applyFill="1" applyBorder="1" applyAlignment="1">
      <alignment horizontal="center" vertical="center"/>
    </xf>
    <xf numFmtId="0" fontId="36" fillId="3" borderId="10" xfId="0" applyFont="1" applyFill="1" applyBorder="1" applyAlignment="1" applyProtection="1">
      <alignment horizontal="left"/>
      <protection locked="0"/>
    </xf>
    <xf numFmtId="0" fontId="52" fillId="13" borderId="1" xfId="0" applyFont="1" applyFill="1" applyBorder="1" applyAlignment="1">
      <alignment horizontal="center" vertical="center" wrapText="1"/>
    </xf>
    <xf numFmtId="0" fontId="0" fillId="3" borderId="2" xfId="0" applyFill="1" applyBorder="1" applyAlignment="1">
      <alignment horizontal="center"/>
    </xf>
    <xf numFmtId="0" fontId="0" fillId="3" borderId="3" xfId="0" applyFill="1" applyBorder="1" applyAlignment="1">
      <alignment horizontal="center"/>
    </xf>
    <xf numFmtId="173" fontId="0" fillId="3" borderId="2" xfId="0" applyNumberFormat="1" applyFill="1" applyBorder="1" applyAlignment="1" applyProtection="1">
      <alignment horizontal="center" vertical="center" wrapText="1"/>
      <protection locked="0"/>
    </xf>
    <xf numFmtId="173" fontId="0" fillId="3" borderId="3" xfId="0" applyNumberFormat="1" applyFill="1" applyBorder="1" applyAlignment="1" applyProtection="1">
      <alignment horizontal="center" vertical="center" wrapText="1"/>
      <protection locked="0"/>
    </xf>
    <xf numFmtId="166" fontId="0" fillId="3" borderId="1" xfId="0" applyNumberFormat="1" applyFill="1" applyBorder="1" applyAlignment="1" applyProtection="1">
      <alignment horizontal="center" vertical="center" wrapText="1"/>
      <protection locked="0"/>
    </xf>
    <xf numFmtId="0" fontId="2" fillId="13" borderId="9" xfId="0" applyFont="1" applyFill="1" applyBorder="1" applyAlignment="1">
      <alignment horizontal="center" vertical="center" wrapText="1"/>
    </xf>
    <xf numFmtId="0" fontId="2" fillId="13" borderId="10" xfId="0" applyFont="1" applyFill="1" applyBorder="1" applyAlignment="1">
      <alignment horizontal="center" vertical="center" wrapText="1"/>
    </xf>
    <xf numFmtId="0" fontId="2" fillId="13" borderId="11" xfId="0" applyFont="1" applyFill="1" applyBorder="1" applyAlignment="1">
      <alignment horizontal="center" vertical="center" wrapText="1"/>
    </xf>
    <xf numFmtId="0" fontId="37" fillId="13" borderId="1" xfId="0" quotePrefix="1" applyFont="1" applyFill="1" applyBorder="1" applyAlignment="1">
      <alignment horizontal="left"/>
    </xf>
    <xf numFmtId="0" fontId="37" fillId="13" borderId="2" xfId="0" quotePrefix="1" applyFont="1" applyFill="1" applyBorder="1" applyAlignment="1">
      <alignment horizontal="left"/>
    </xf>
    <xf numFmtId="0" fontId="37" fillId="13" borderId="13" xfId="0" quotePrefix="1" applyFont="1" applyFill="1" applyBorder="1" applyAlignment="1">
      <alignment horizontal="left"/>
    </xf>
    <xf numFmtId="0" fontId="37" fillId="13" borderId="3" xfId="0" quotePrefix="1" applyFont="1" applyFill="1" applyBorder="1" applyAlignment="1">
      <alignment horizontal="left"/>
    </xf>
    <xf numFmtId="0" fontId="9" fillId="12" borderId="2" xfId="0" applyFont="1" applyFill="1" applyBorder="1" applyAlignment="1" applyProtection="1">
      <alignment horizontal="center" vertical="center"/>
      <protection locked="0"/>
    </xf>
    <xf numFmtId="0" fontId="9" fillId="12" borderId="13" xfId="0" applyFont="1" applyFill="1" applyBorder="1" applyAlignment="1" applyProtection="1">
      <alignment horizontal="center" vertical="center"/>
      <protection locked="0"/>
    </xf>
    <xf numFmtId="0" fontId="9" fillId="12" borderId="3" xfId="0" applyFont="1" applyFill="1" applyBorder="1" applyAlignment="1" applyProtection="1">
      <alignment horizontal="center" vertical="center"/>
      <protection locked="0"/>
    </xf>
    <xf numFmtId="0" fontId="32" fillId="3" borderId="0" xfId="0" applyFont="1" applyFill="1" applyAlignment="1" applyProtection="1">
      <alignment horizontal="center"/>
      <protection locked="0"/>
    </xf>
    <xf numFmtId="0" fontId="57" fillId="18" borderId="2" xfId="0" applyFont="1" applyFill="1" applyBorder="1" applyAlignment="1">
      <alignment horizontal="left" vertical="center" wrapText="1"/>
    </xf>
    <xf numFmtId="0" fontId="57" fillId="18" borderId="3" xfId="0" applyFont="1" applyFill="1" applyBorder="1" applyAlignment="1">
      <alignment horizontal="left" vertical="center" wrapText="1"/>
    </xf>
    <xf numFmtId="0" fontId="57" fillId="19" borderId="13" xfId="0" applyFont="1" applyFill="1" applyBorder="1" applyAlignment="1">
      <alignment horizontal="left" vertical="center" wrapText="1"/>
    </xf>
    <xf numFmtId="0" fontId="58" fillId="19" borderId="13" xfId="0" applyFont="1" applyFill="1" applyBorder="1" applyAlignment="1" applyProtection="1">
      <alignment horizontal="center" vertical="center" wrapText="1"/>
      <protection locked="0"/>
    </xf>
    <xf numFmtId="0" fontId="57" fillId="18" borderId="13" xfId="0" applyFont="1" applyFill="1" applyBorder="1" applyAlignment="1">
      <alignment horizontal="left" vertical="center" wrapText="1"/>
    </xf>
    <xf numFmtId="0" fontId="57" fillId="19" borderId="3" xfId="0" applyFont="1" applyFill="1" applyBorder="1" applyAlignment="1">
      <alignment horizontal="left" vertical="center" wrapText="1"/>
    </xf>
    <xf numFmtId="0" fontId="58" fillId="19" borderId="3" xfId="0" applyFont="1" applyFill="1" applyBorder="1" applyAlignment="1" applyProtection="1">
      <alignment horizontal="center" vertical="center" wrapText="1"/>
      <protection locked="0"/>
    </xf>
    <xf numFmtId="0" fontId="0" fillId="3" borderId="1" xfId="0" applyFill="1" applyBorder="1" applyAlignment="1" applyProtection="1">
      <alignment horizontal="center" vertical="center" wrapText="1"/>
      <protection locked="0"/>
    </xf>
    <xf numFmtId="168" fontId="2" fillId="3" borderId="1" xfId="0" applyNumberFormat="1" applyFont="1" applyFill="1" applyBorder="1" applyAlignment="1" applyProtection="1">
      <alignment horizontal="center" vertical="center" wrapText="1"/>
      <protection locked="0"/>
    </xf>
    <xf numFmtId="168" fontId="0" fillId="3" borderId="1" xfId="0" applyNumberFormat="1" applyFill="1" applyBorder="1" applyAlignment="1" applyProtection="1">
      <alignment horizontal="center" vertical="center" wrapText="1"/>
      <protection locked="0"/>
    </xf>
    <xf numFmtId="2" fontId="0" fillId="3" borderId="1" xfId="0" applyNumberFormat="1" applyFill="1" applyBorder="1" applyAlignment="1" applyProtection="1">
      <alignment horizontal="center" vertical="center" wrapText="1"/>
      <protection locked="0"/>
    </xf>
    <xf numFmtId="0" fontId="2" fillId="12" borderId="2" xfId="0" applyFont="1" applyFill="1" applyBorder="1" applyAlignment="1">
      <alignment horizontal="center"/>
    </xf>
    <xf numFmtId="0" fontId="2" fillId="12" borderId="13" xfId="0" applyFont="1" applyFill="1" applyBorder="1" applyAlignment="1">
      <alignment horizontal="center"/>
    </xf>
    <xf numFmtId="0" fontId="2" fillId="12" borderId="3" xfId="0" applyFont="1" applyFill="1" applyBorder="1" applyAlignment="1">
      <alignment horizontal="center"/>
    </xf>
    <xf numFmtId="168" fontId="2" fillId="3" borderId="2" xfId="0" applyNumberFormat="1" applyFont="1" applyFill="1" applyBorder="1" applyAlignment="1" applyProtection="1">
      <alignment horizontal="center" vertical="center" wrapText="1"/>
      <protection locked="0"/>
    </xf>
    <xf numFmtId="168" fontId="2" fillId="3" borderId="13" xfId="0" applyNumberFormat="1" applyFont="1" applyFill="1" applyBorder="1" applyAlignment="1" applyProtection="1">
      <alignment horizontal="center" vertical="center" wrapText="1"/>
      <protection locked="0"/>
    </xf>
    <xf numFmtId="168" fontId="2" fillId="3" borderId="3" xfId="0" applyNumberFormat="1" applyFont="1" applyFill="1" applyBorder="1" applyAlignment="1" applyProtection="1">
      <alignment horizontal="center" vertical="center" wrapText="1"/>
      <protection locked="0"/>
    </xf>
    <xf numFmtId="0" fontId="19" fillId="3" borderId="2" xfId="0" applyFont="1" applyFill="1" applyBorder="1" applyAlignment="1" applyProtection="1">
      <alignment horizontal="center" vertical="center" wrapText="1"/>
      <protection locked="0"/>
    </xf>
    <xf numFmtId="0" fontId="19" fillId="3" borderId="13" xfId="0" applyFont="1" applyFill="1" applyBorder="1" applyAlignment="1" applyProtection="1">
      <alignment horizontal="center" vertical="center" wrapText="1"/>
      <protection locked="0"/>
    </xf>
    <xf numFmtId="0" fontId="19" fillId="3" borderId="3" xfId="0" applyFont="1" applyFill="1" applyBorder="1" applyAlignment="1" applyProtection="1">
      <alignment horizontal="center" vertical="center" wrapText="1"/>
      <protection locked="0"/>
    </xf>
    <xf numFmtId="0" fontId="0" fillId="3" borderId="2" xfId="0" applyFill="1" applyBorder="1" applyAlignment="1" applyProtection="1">
      <alignment horizontal="center" vertical="center" wrapText="1"/>
      <protection locked="0"/>
    </xf>
    <xf numFmtId="0" fontId="0" fillId="3" borderId="13" xfId="0" applyFill="1" applyBorder="1" applyAlignment="1" applyProtection="1">
      <alignment horizontal="center" vertical="center" wrapText="1"/>
      <protection locked="0"/>
    </xf>
    <xf numFmtId="0" fontId="0" fillId="3" borderId="3" xfId="0" applyFill="1" applyBorder="1" applyAlignment="1" applyProtection="1">
      <alignment horizontal="center" vertical="center" wrapText="1"/>
      <protection locked="0"/>
    </xf>
    <xf numFmtId="168" fontId="0" fillId="3" borderId="2" xfId="0" applyNumberFormat="1" applyFill="1" applyBorder="1" applyAlignment="1" applyProtection="1">
      <alignment horizontal="center" vertical="center" wrapText="1"/>
      <protection locked="0"/>
    </xf>
    <xf numFmtId="168" fontId="0" fillId="3" borderId="13" xfId="0" applyNumberFormat="1" applyFill="1" applyBorder="1" applyAlignment="1" applyProtection="1">
      <alignment horizontal="center" vertical="center" wrapText="1"/>
      <protection locked="0"/>
    </xf>
    <xf numFmtId="168" fontId="0" fillId="3" borderId="3" xfId="0" applyNumberFormat="1" applyFill="1" applyBorder="1" applyAlignment="1" applyProtection="1">
      <alignment horizontal="center" vertical="center" wrapText="1"/>
      <protection locked="0"/>
    </xf>
    <xf numFmtId="169" fontId="0" fillId="3" borderId="1" xfId="0" applyNumberFormat="1" applyFill="1" applyBorder="1" applyAlignment="1" applyProtection="1">
      <alignment horizontal="center" vertical="center" wrapText="1"/>
      <protection locked="0"/>
    </xf>
    <xf numFmtId="166" fontId="2" fillId="3" borderId="2" xfId="0" applyNumberFormat="1" applyFont="1" applyFill="1" applyBorder="1" applyAlignment="1" applyProtection="1">
      <alignment horizontal="center" vertical="center" wrapText="1"/>
      <protection locked="0"/>
    </xf>
    <xf numFmtId="166" fontId="2" fillId="3" borderId="13" xfId="0" applyNumberFormat="1" applyFont="1" applyFill="1" applyBorder="1" applyAlignment="1" applyProtection="1">
      <alignment horizontal="center" vertical="center" wrapText="1"/>
      <protection locked="0"/>
    </xf>
    <xf numFmtId="166" fontId="2" fillId="3" borderId="3" xfId="0" applyNumberFormat="1" applyFont="1" applyFill="1" applyBorder="1" applyAlignment="1" applyProtection="1">
      <alignment horizontal="center" vertical="center" wrapText="1"/>
      <protection locked="0"/>
    </xf>
    <xf numFmtId="167" fontId="0" fillId="3" borderId="1" xfId="0" applyNumberFormat="1" applyFill="1" applyBorder="1" applyAlignment="1" applyProtection="1">
      <alignment horizontal="center" vertical="center" wrapText="1"/>
      <protection locked="0"/>
    </xf>
    <xf numFmtId="0" fontId="34" fillId="3" borderId="0" xfId="0" applyFont="1" applyFill="1" applyAlignment="1" applyProtection="1">
      <alignment horizontal="center"/>
      <protection locked="0"/>
    </xf>
    <xf numFmtId="0" fontId="34" fillId="3" borderId="18" xfId="0" applyFont="1" applyFill="1" applyBorder="1" applyAlignment="1" applyProtection="1">
      <alignment horizontal="center"/>
      <protection locked="0"/>
    </xf>
    <xf numFmtId="0" fontId="2" fillId="3" borderId="38" xfId="0" applyFont="1" applyFill="1" applyBorder="1" applyAlignment="1" applyProtection="1">
      <alignment horizontal="center" vertical="center"/>
      <protection locked="0"/>
    </xf>
    <xf numFmtId="0" fontId="2" fillId="3" borderId="39" xfId="0" applyFont="1" applyFill="1" applyBorder="1" applyAlignment="1" applyProtection="1">
      <alignment horizontal="center" vertical="center"/>
      <protection locked="0"/>
    </xf>
    <xf numFmtId="0" fontId="0" fillId="3" borderId="2" xfId="0" applyFill="1" applyBorder="1" applyAlignment="1" applyProtection="1">
      <alignment horizontal="left" vertical="center" wrapText="1"/>
      <protection locked="0"/>
    </xf>
    <xf numFmtId="0" fontId="0" fillId="3" borderId="3" xfId="0" applyFill="1" applyBorder="1" applyAlignment="1" applyProtection="1">
      <alignment horizontal="left" vertical="center" wrapText="1"/>
      <protection locked="0"/>
    </xf>
    <xf numFmtId="0" fontId="30" fillId="3" borderId="0" xfId="0" applyFont="1" applyFill="1" applyAlignment="1">
      <alignment horizontal="center"/>
    </xf>
    <xf numFmtId="0" fontId="28" fillId="13" borderId="1" xfId="0" applyFont="1" applyFill="1" applyBorder="1" applyAlignment="1">
      <alignment vertical="top" wrapText="1"/>
    </xf>
    <xf numFmtId="0" fontId="28" fillId="13" borderId="2" xfId="0" applyFont="1" applyFill="1" applyBorder="1" applyAlignment="1">
      <alignment horizontal="left" vertical="center" wrapText="1"/>
    </xf>
    <xf numFmtId="0" fontId="28" fillId="13" borderId="3" xfId="0" applyFont="1" applyFill="1" applyBorder="1" applyAlignment="1">
      <alignment horizontal="left" vertical="center" wrapText="1"/>
    </xf>
    <xf numFmtId="0" fontId="0" fillId="13" borderId="5" xfId="0" applyFill="1" applyBorder="1" applyAlignment="1" applyProtection="1">
      <alignment horizontal="center"/>
      <protection locked="0"/>
    </xf>
    <xf numFmtId="0" fontId="0" fillId="13" borderId="6" xfId="0" applyFill="1" applyBorder="1" applyAlignment="1" applyProtection="1">
      <alignment horizontal="center"/>
      <protection locked="0"/>
    </xf>
    <xf numFmtId="0" fontId="0" fillId="13" borderId="0" xfId="0" applyFill="1" applyAlignment="1" applyProtection="1">
      <alignment horizontal="center"/>
      <protection locked="0"/>
    </xf>
    <xf numFmtId="0" fontId="0" fillId="13" borderId="8" xfId="0" applyFill="1" applyBorder="1" applyAlignment="1" applyProtection="1">
      <alignment horizontal="center"/>
      <protection locked="0"/>
    </xf>
    <xf numFmtId="0" fontId="0" fillId="13" borderId="10" xfId="0" applyFill="1" applyBorder="1" applyAlignment="1" applyProtection="1">
      <alignment horizontal="center"/>
      <protection locked="0"/>
    </xf>
    <xf numFmtId="0" fontId="0" fillId="13" borderId="11" xfId="0" applyFill="1" applyBorder="1" applyAlignment="1" applyProtection="1">
      <alignment horizontal="center"/>
      <protection locked="0"/>
    </xf>
    <xf numFmtId="166" fontId="0" fillId="13" borderId="1" xfId="0" applyNumberFormat="1" applyFill="1" applyBorder="1" applyAlignment="1" applyProtection="1">
      <alignment horizontal="center" vertical="center" wrapText="1"/>
      <protection locked="0"/>
    </xf>
    <xf numFmtId="169" fontId="2" fillId="3" borderId="2" xfId="0" applyNumberFormat="1" applyFont="1" applyFill="1" applyBorder="1" applyAlignment="1" applyProtection="1">
      <alignment horizontal="center" vertical="center" wrapText="1"/>
      <protection locked="0"/>
    </xf>
    <xf numFmtId="169" fontId="2" fillId="3" borderId="13" xfId="0" applyNumberFormat="1" applyFont="1" applyFill="1" applyBorder="1" applyAlignment="1" applyProtection="1">
      <alignment horizontal="center" vertical="center" wrapText="1"/>
      <protection locked="0"/>
    </xf>
    <xf numFmtId="169" fontId="2" fillId="3" borderId="3" xfId="0" applyNumberFormat="1" applyFont="1" applyFill="1" applyBorder="1" applyAlignment="1" applyProtection="1">
      <alignment horizontal="center" vertical="center" wrapText="1"/>
      <protection locked="0"/>
    </xf>
    <xf numFmtId="169" fontId="2" fillId="13" borderId="2" xfId="0" applyNumberFormat="1" applyFont="1" applyFill="1" applyBorder="1" applyAlignment="1" applyProtection="1">
      <alignment horizontal="center" vertical="center" wrapText="1"/>
      <protection locked="0"/>
    </xf>
    <xf numFmtId="169" fontId="2" fillId="13" borderId="3" xfId="0" applyNumberFormat="1" applyFont="1" applyFill="1" applyBorder="1" applyAlignment="1" applyProtection="1">
      <alignment horizontal="center" vertical="center" wrapText="1"/>
      <protection locked="0"/>
    </xf>
    <xf numFmtId="0" fontId="2" fillId="12" borderId="1" xfId="0" applyFont="1" applyFill="1" applyBorder="1" applyAlignment="1">
      <alignment horizontal="center"/>
    </xf>
    <xf numFmtId="0" fontId="2" fillId="3" borderId="2" xfId="0" applyFont="1" applyFill="1" applyBorder="1" applyAlignment="1" applyProtection="1">
      <alignment horizontal="center" vertical="center" wrapText="1"/>
      <protection locked="0"/>
    </xf>
    <xf numFmtId="0" fontId="2" fillId="3" borderId="3" xfId="0" applyFont="1" applyFill="1" applyBorder="1" applyAlignment="1" applyProtection="1">
      <alignment horizontal="center" vertical="center" wrapText="1"/>
      <protection locked="0"/>
    </xf>
    <xf numFmtId="0" fontId="0" fillId="3" borderId="34" xfId="0" applyFill="1" applyBorder="1" applyAlignment="1" applyProtection="1">
      <alignment horizontal="center" vertical="center"/>
      <protection locked="0"/>
    </xf>
    <xf numFmtId="0" fontId="0" fillId="3" borderId="32" xfId="0" applyFill="1" applyBorder="1" applyAlignment="1" applyProtection="1">
      <alignment horizontal="center" vertical="center"/>
      <protection locked="0"/>
    </xf>
    <xf numFmtId="0" fontId="2" fillId="3" borderId="33" xfId="0" applyFont="1" applyFill="1" applyBorder="1" applyAlignment="1" applyProtection="1">
      <alignment horizontal="center" vertical="center"/>
      <protection locked="0"/>
    </xf>
    <xf numFmtId="0" fontId="2" fillId="3" borderId="30" xfId="0" applyFont="1" applyFill="1" applyBorder="1" applyAlignment="1" applyProtection="1">
      <alignment horizontal="center" vertical="center"/>
      <protection locked="0"/>
    </xf>
    <xf numFmtId="0" fontId="2" fillId="3" borderId="40" xfId="0" applyFont="1" applyFill="1" applyBorder="1" applyAlignment="1" applyProtection="1">
      <alignment horizontal="center" vertical="center"/>
      <protection locked="0"/>
    </xf>
    <xf numFmtId="0" fontId="2" fillId="3" borderId="31" xfId="0" applyFont="1" applyFill="1" applyBorder="1" applyAlignment="1" applyProtection="1">
      <alignment horizontal="center" vertical="center"/>
      <protection locked="0"/>
    </xf>
    <xf numFmtId="0" fontId="2" fillId="3" borderId="13" xfId="0" applyFont="1" applyFill="1" applyBorder="1" applyAlignment="1" applyProtection="1">
      <alignment horizontal="center" vertical="center"/>
      <protection locked="0"/>
    </xf>
    <xf numFmtId="0" fontId="31" fillId="3" borderId="0" xfId="0" applyFont="1" applyFill="1" applyAlignment="1" applyProtection="1">
      <alignment horizontal="center"/>
      <protection locked="0"/>
    </xf>
    <xf numFmtId="0" fontId="2" fillId="3" borderId="1" xfId="0" applyFont="1" applyFill="1" applyBorder="1" applyAlignment="1" applyProtection="1">
      <alignment horizontal="center"/>
      <protection locked="0"/>
    </xf>
    <xf numFmtId="168" fontId="0" fillId="3" borderId="2" xfId="0" applyNumberFormat="1" applyFill="1" applyBorder="1" applyAlignment="1" applyProtection="1">
      <alignment horizontal="center" vertical="top" wrapText="1"/>
      <protection locked="0"/>
    </xf>
    <xf numFmtId="168" fontId="0" fillId="3" borderId="13" xfId="0" applyNumberFormat="1" applyFill="1" applyBorder="1" applyAlignment="1" applyProtection="1">
      <alignment horizontal="center" vertical="top" wrapText="1"/>
      <protection locked="0"/>
    </xf>
    <xf numFmtId="168" fontId="0" fillId="3" borderId="3" xfId="0" applyNumberFormat="1" applyFill="1" applyBorder="1" applyAlignment="1" applyProtection="1">
      <alignment horizontal="center" vertical="top" wrapText="1"/>
      <protection locked="0"/>
    </xf>
    <xf numFmtId="0" fontId="19" fillId="0" borderId="2"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0" fontId="19" fillId="0" borderId="3" xfId="0" applyFont="1" applyBorder="1" applyAlignment="1" applyProtection="1">
      <alignment horizontal="center" vertical="center"/>
      <protection locked="0"/>
    </xf>
    <xf numFmtId="0" fontId="2" fillId="12" borderId="2" xfId="0" applyFont="1" applyFill="1" applyBorder="1" applyAlignment="1" applyProtection="1">
      <alignment horizontal="center" vertical="center" wrapText="1"/>
      <protection locked="0"/>
    </xf>
    <xf numFmtId="0" fontId="2" fillId="12" borderId="13" xfId="0" applyFont="1" applyFill="1" applyBorder="1" applyAlignment="1" applyProtection="1">
      <alignment horizontal="center" vertical="center" wrapText="1"/>
      <protection locked="0"/>
    </xf>
    <xf numFmtId="0" fontId="2" fillId="12" borderId="3" xfId="0" applyFont="1" applyFill="1" applyBorder="1" applyAlignment="1" applyProtection="1">
      <alignment horizontal="center" vertical="center" wrapText="1"/>
      <protection locked="0"/>
    </xf>
    <xf numFmtId="0" fontId="5" fillId="12" borderId="1" xfId="0" applyFont="1" applyFill="1" applyBorder="1" applyAlignment="1" applyProtection="1">
      <alignment horizontal="center" vertical="center"/>
      <protection locked="0"/>
    </xf>
    <xf numFmtId="0" fontId="19" fillId="12" borderId="1" xfId="0" applyFont="1" applyFill="1" applyBorder="1" applyAlignment="1" applyProtection="1">
      <alignment horizontal="center" vertical="center"/>
      <protection locked="0"/>
    </xf>
    <xf numFmtId="0" fontId="0" fillId="13" borderId="1" xfId="0" applyFill="1" applyBorder="1" applyAlignment="1">
      <alignment horizontal="center" vertical="center"/>
    </xf>
    <xf numFmtId="0" fontId="2" fillId="12" borderId="1" xfId="0" applyFont="1" applyFill="1" applyBorder="1" applyAlignment="1" applyProtection="1">
      <alignment horizontal="center" vertical="center"/>
      <protection locked="0"/>
    </xf>
    <xf numFmtId="0" fontId="16" fillId="9" borderId="15" xfId="0" applyFont="1" applyFill="1" applyBorder="1" applyAlignment="1">
      <alignment horizontal="right"/>
    </xf>
    <xf numFmtId="0" fontId="16" fillId="0" borderId="15" xfId="0" applyFont="1" applyBorder="1" applyAlignment="1">
      <alignment horizontal="right"/>
    </xf>
    <xf numFmtId="0" fontId="20" fillId="0" borderId="0" xfId="0" applyFont="1" applyAlignment="1">
      <alignment horizontal="center" vertical="center"/>
    </xf>
    <xf numFmtId="0" fontId="57" fillId="20" borderId="2" xfId="0" applyFont="1" applyFill="1" applyBorder="1" applyAlignment="1">
      <alignment horizontal="left" vertical="center" wrapText="1"/>
    </xf>
    <xf numFmtId="0" fontId="57" fillId="20" borderId="13" xfId="0" applyFont="1" applyFill="1" applyBorder="1" applyAlignment="1">
      <alignment horizontal="left" vertical="center" wrapText="1"/>
    </xf>
    <xf numFmtId="0" fontId="57" fillId="20" borderId="3" xfId="0" applyFont="1" applyFill="1" applyBorder="1" applyAlignment="1">
      <alignment horizontal="left" vertical="center" wrapText="1"/>
    </xf>
    <xf numFmtId="166" fontId="0" fillId="3" borderId="2" xfId="0" applyNumberFormat="1" applyFill="1" applyBorder="1" applyAlignment="1" applyProtection="1">
      <alignment horizontal="center" vertical="center" wrapText="1"/>
      <protection locked="0"/>
    </xf>
    <xf numFmtId="166" fontId="0" fillId="3" borderId="3" xfId="0" applyNumberFormat="1" applyFill="1" applyBorder="1" applyAlignment="1" applyProtection="1">
      <alignment horizontal="center" vertical="center" wrapText="1"/>
      <protection locked="0"/>
    </xf>
    <xf numFmtId="1" fontId="0" fillId="3" borderId="2" xfId="0" applyNumberFormat="1" applyFill="1" applyBorder="1" applyAlignment="1" applyProtection="1">
      <alignment horizontal="center" vertical="center" wrapText="1"/>
      <protection locked="0"/>
    </xf>
    <xf numFmtId="14" fontId="57" fillId="3" borderId="2" xfId="0" applyNumberFormat="1" applyFont="1" applyFill="1" applyBorder="1" applyAlignment="1">
      <alignment horizontal="center" vertical="center" wrapText="1"/>
    </xf>
    <xf numFmtId="14" fontId="57" fillId="3" borderId="13" xfId="0" applyNumberFormat="1" applyFont="1" applyFill="1" applyBorder="1" applyAlignment="1">
      <alignment horizontal="center" vertical="center" wrapText="1"/>
    </xf>
    <xf numFmtId="0" fontId="57" fillId="3" borderId="2" xfId="0" applyFont="1" applyFill="1" applyBorder="1" applyAlignment="1">
      <alignment horizontal="center" vertical="center" wrapText="1"/>
    </xf>
    <xf numFmtId="0" fontId="57" fillId="3" borderId="13" xfId="0" applyFont="1" applyFill="1" applyBorder="1" applyAlignment="1">
      <alignment horizontal="center" vertical="center" wrapText="1"/>
    </xf>
    <xf numFmtId="0" fontId="57" fillId="3" borderId="2" xfId="0" applyFont="1" applyFill="1" applyBorder="1" applyAlignment="1">
      <alignment horizontal="left" vertical="center" wrapText="1"/>
    </xf>
    <xf numFmtId="0" fontId="57" fillId="3" borderId="13" xfId="0" applyFont="1" applyFill="1" applyBorder="1" applyAlignment="1">
      <alignment horizontal="left" vertical="center" wrapText="1"/>
    </xf>
    <xf numFmtId="0" fontId="57" fillId="3" borderId="0" xfId="0" applyFont="1" applyFill="1" applyAlignment="1" applyProtection="1">
      <alignment horizontal="center" vertical="center" wrapText="1"/>
      <protection locked="0"/>
    </xf>
    <xf numFmtId="0" fontId="58" fillId="3" borderId="2" xfId="0" applyFont="1" applyFill="1" applyBorder="1" applyAlignment="1" applyProtection="1">
      <alignment horizontal="center" vertical="center" wrapText="1"/>
      <protection locked="0"/>
    </xf>
    <xf numFmtId="0" fontId="58" fillId="3" borderId="13" xfId="0" applyFont="1" applyFill="1" applyBorder="1" applyAlignment="1" applyProtection="1">
      <alignment horizontal="center" vertical="center" wrapText="1"/>
      <protection locked="0"/>
    </xf>
    <xf numFmtId="0" fontId="58" fillId="3" borderId="3" xfId="0" applyFont="1" applyFill="1" applyBorder="1" applyAlignment="1" applyProtection="1">
      <alignment horizontal="center" vertical="center" wrapText="1"/>
      <protection locked="0"/>
    </xf>
    <xf numFmtId="0" fontId="57" fillId="3" borderId="3" xfId="0" applyFont="1" applyFill="1" applyBorder="1" applyAlignment="1">
      <alignment horizontal="left" vertical="center" wrapText="1"/>
    </xf>
  </cellXfs>
  <cellStyles count="9">
    <cellStyle name="Comma" xfId="1" builtinId="3"/>
    <cellStyle name="Comma 2" xfId="7" xr:uid="{00000000-0005-0000-0000-000001000000}"/>
    <cellStyle name="Hyperlink" xfId="5" builtinId="8"/>
    <cellStyle name="Lien hypertexte 2" xfId="4" xr:uid="{00000000-0005-0000-0000-000003000000}"/>
    <cellStyle name="Milliers 2" xfId="6" xr:uid="{00000000-0005-0000-0000-000004000000}"/>
    <cellStyle name="Normal" xfId="0" builtinId="0"/>
    <cellStyle name="Normal 2" xfId="3" xr:uid="{00000000-0005-0000-0000-000006000000}"/>
    <cellStyle name="Normal 3" xfId="2" xr:uid="{00000000-0005-0000-0000-000007000000}"/>
    <cellStyle name="Pourcentage 2" xfId="8" xr:uid="{00000000-0005-0000-0000-000008000000}"/>
  </cellStyles>
  <dxfs count="0"/>
  <tableStyles count="0" defaultTableStyle="TableStyleMedium2" defaultPivotStyle="PivotStyleLight16"/>
  <colors>
    <mruColors>
      <color rgb="FF99FFCC"/>
      <color rgb="FFDA9694"/>
      <color rgb="FFFF9999"/>
      <color rgb="FFFF99FF"/>
      <color rgb="FFB1A0C7"/>
      <color rgb="FF9999FF"/>
      <color rgb="FFCC99FF"/>
      <color rgb="FF99FF99"/>
      <color rgb="FFCC00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85725</xdr:rowOff>
    </xdr:from>
    <xdr:to>
      <xdr:col>0</xdr:col>
      <xdr:colOff>1337310</xdr:colOff>
      <xdr:row>0</xdr:row>
      <xdr:rowOff>514777</xdr:rowOff>
    </xdr:to>
    <xdr:pic>
      <xdr:nvPicPr>
        <xdr:cNvPr id="2" name="Picture 1" descr="https://upload.wikimedia.org/wikipedia/en/thumb/0/01/Atos.svg/1280px-Atos.svg.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85725"/>
          <a:ext cx="1280160" cy="4290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85725</xdr:rowOff>
    </xdr:from>
    <xdr:to>
      <xdr:col>0</xdr:col>
      <xdr:colOff>1223495</xdr:colOff>
      <xdr:row>0</xdr:row>
      <xdr:rowOff>530772</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19075" y="85725"/>
          <a:ext cx="1194920" cy="4450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104775</xdr:rowOff>
    </xdr:from>
    <xdr:to>
      <xdr:col>0</xdr:col>
      <xdr:colOff>1204445</xdr:colOff>
      <xdr:row>1</xdr:row>
      <xdr:rowOff>6897</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19075" y="104775"/>
          <a:ext cx="1194920" cy="44504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xdr:colOff>
      <xdr:row>0</xdr:row>
      <xdr:rowOff>104775</xdr:rowOff>
    </xdr:from>
    <xdr:to>
      <xdr:col>0</xdr:col>
      <xdr:colOff>1204445</xdr:colOff>
      <xdr:row>1</xdr:row>
      <xdr:rowOff>6897</xdr:rowOff>
    </xdr:to>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22885" y="104775"/>
          <a:ext cx="1194920" cy="4431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133350</xdr:colOff>
      <xdr:row>0</xdr:row>
      <xdr:rowOff>19050</xdr:rowOff>
    </xdr:from>
    <xdr:to>
      <xdr:col>1</xdr:col>
      <xdr:colOff>1185395</xdr:colOff>
      <xdr:row>1</xdr:row>
      <xdr:rowOff>64047</xdr:rowOff>
    </xdr:to>
    <xdr:pic>
      <xdr:nvPicPr>
        <xdr:cNvPr id="4" name="Imag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133350" y="19050"/>
          <a:ext cx="1194920" cy="44504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104775</xdr:rowOff>
    </xdr:from>
    <xdr:to>
      <xdr:col>0</xdr:col>
      <xdr:colOff>1194920</xdr:colOff>
      <xdr:row>1</xdr:row>
      <xdr:rowOff>6897</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09550" y="104775"/>
          <a:ext cx="1194920" cy="4450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2013.myatos.net/Users/A588529/AppData/Local/Microsoft/Windows/Temporary%20Internet%20Files/Content.Outlook/HULBB1NI/Visa%20categories%20adjust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myatos.net/Users/A553823/AppData/Local/Microsoft/Windows/Temporary%20Internet%20Files/Content.Outlook/BCM85P6X/To%20Do/New%20EDS_V1%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inal List"/>
      <sheetName val="Sheet3"/>
      <sheetName val="Menus "/>
    </sheetNames>
    <sheetDataSet>
      <sheetData sheetId="0">
        <row r="4">
          <cell r="C4" t="str">
            <v>Tier-2 ICT Short Term WP</v>
          </cell>
          <cell r="E4" t="str">
            <v>Business Visa</v>
          </cell>
        </row>
        <row r="5">
          <cell r="C5" t="str">
            <v>Tier-2 ICT Long Term WP</v>
          </cell>
          <cell r="E5" t="str">
            <v>Visit Visa</v>
          </cell>
        </row>
        <row r="6">
          <cell r="C6" t="str">
            <v>Tier-2 ICT Short term Staff Partner</v>
          </cell>
          <cell r="E6" t="str">
            <v>Tourist Visa</v>
          </cell>
        </row>
        <row r="7">
          <cell r="C7" t="str">
            <v>Tier-2 ICT Long term Staff Partner</v>
          </cell>
          <cell r="E7" t="str">
            <v>Dependent Visa</v>
          </cell>
        </row>
        <row r="8">
          <cell r="C8" t="str">
            <v>Tier-2 ICT Short term Staff Child</v>
          </cell>
          <cell r="E8" t="str">
            <v xml:space="preserve">Work Permit </v>
          </cell>
        </row>
        <row r="9">
          <cell r="C9" t="str">
            <v>Tier-2 ICT Long Term Staff Child</v>
          </cell>
          <cell r="E9" t="str">
            <v>Work Permit Extension</v>
          </cell>
        </row>
        <row r="10">
          <cell r="E10" t="str">
            <v>Long Term Work Permit</v>
          </cell>
        </row>
        <row r="11">
          <cell r="C11" t="str">
            <v>Tier-2 Skill Transfer WP</v>
          </cell>
          <cell r="E11" t="str">
            <v>Short Term Work Permit</v>
          </cell>
        </row>
        <row r="12">
          <cell r="E12" t="str">
            <v>Long Term Dependent WP</v>
          </cell>
        </row>
        <row r="13">
          <cell r="E13" t="str">
            <v>Short Term Dependent WP</v>
          </cell>
        </row>
        <row r="21">
          <cell r="C21" t="str">
            <v>L-1A Blanket</v>
          </cell>
        </row>
        <row r="22">
          <cell r="C22" t="str">
            <v>L-1A Individual</v>
          </cell>
        </row>
        <row r="23">
          <cell r="C23" t="str">
            <v>L-1B Blanket</v>
          </cell>
        </row>
        <row r="24">
          <cell r="C24" t="str">
            <v>L-1B Individual</v>
          </cell>
        </row>
        <row r="25">
          <cell r="C25" t="str">
            <v>H-1B</v>
          </cell>
        </row>
        <row r="26">
          <cell r="C26" t="str">
            <v>H-4</v>
          </cell>
        </row>
        <row r="27">
          <cell r="C27" t="str">
            <v>L-2</v>
          </cell>
        </row>
        <row r="29">
          <cell r="C29" t="str">
            <v>Single Short Stay Visa</v>
          </cell>
        </row>
        <row r="30">
          <cell r="C30" t="str">
            <v>Single Long Stay Visa</v>
          </cell>
        </row>
        <row r="31">
          <cell r="C31" t="str">
            <v>Mission Visa</v>
          </cell>
        </row>
        <row r="34">
          <cell r="C34" t="str">
            <v>Work Visit Visa</v>
          </cell>
        </row>
        <row r="35">
          <cell r="C35" t="str">
            <v>Work Permit (IQAMA)</v>
          </cell>
        </row>
        <row r="49">
          <cell r="C49" t="str">
            <v>Employment Pass</v>
          </cell>
        </row>
        <row r="55">
          <cell r="C55" t="str">
            <v>Work Permit 3</v>
          </cell>
        </row>
        <row r="56">
          <cell r="C56" t="str">
            <v>Visa on Arrival</v>
          </cell>
        </row>
        <row r="58">
          <cell r="C58" t="str">
            <v>Business Visa (Subclass 600)</v>
          </cell>
        </row>
        <row r="59">
          <cell r="C59" t="str">
            <v>Short Stay (Subclass 400)</v>
          </cell>
        </row>
        <row r="60">
          <cell r="C60" t="str">
            <v>Work Permit (Subclass 457)</v>
          </cell>
        </row>
      </sheetData>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sheetName val="Employee Data "/>
      <sheetName val="Home HR Data"/>
      <sheetName val="Home Payroll Data"/>
      <sheetName val="Host Data"/>
      <sheetName val="Business Case NEW"/>
      <sheetName val="Feuil1"/>
      <sheetName val="EDS info summary "/>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www.state.gov/p/af/ci/mp/" TargetMode="External"/><Relationship Id="rId21" Type="http://schemas.openxmlformats.org/officeDocument/2006/relationships/hyperlink" Target="http://www.state.gov/p/sca/ci/bt/" TargetMode="External"/><Relationship Id="rId42" Type="http://schemas.openxmlformats.org/officeDocument/2006/relationships/hyperlink" Target="http://www.state.gov/p/af/ci/cf/" TargetMode="External"/><Relationship Id="rId63" Type="http://schemas.openxmlformats.org/officeDocument/2006/relationships/hyperlink" Target="http://www.state.gov/p/eur/ci/fr/" TargetMode="External"/><Relationship Id="rId84" Type="http://schemas.openxmlformats.org/officeDocument/2006/relationships/hyperlink" Target="http://www.state.gov/p/eur/ci/ei/" TargetMode="External"/><Relationship Id="rId138" Type="http://schemas.openxmlformats.org/officeDocument/2006/relationships/hyperlink" Target="http://www.state.gov/p/sca/ci/pk/" TargetMode="External"/><Relationship Id="rId159" Type="http://schemas.openxmlformats.org/officeDocument/2006/relationships/hyperlink" Target="http://www.state.gov/p/af/ci/sg/" TargetMode="External"/><Relationship Id="rId170" Type="http://schemas.openxmlformats.org/officeDocument/2006/relationships/hyperlink" Target="http://www.state.gov/p/eap/ci/ks/" TargetMode="External"/><Relationship Id="rId191" Type="http://schemas.openxmlformats.org/officeDocument/2006/relationships/hyperlink" Target="http://www.state.gov/p/eap/ci/tv/" TargetMode="External"/><Relationship Id="rId196" Type="http://schemas.openxmlformats.org/officeDocument/2006/relationships/hyperlink" Target="http://www.state.gov/p/wha/ci/uy/" TargetMode="External"/><Relationship Id="rId200" Type="http://schemas.openxmlformats.org/officeDocument/2006/relationships/hyperlink" Target="http://www.state.gov/p/eap/ci/vm/" TargetMode="External"/><Relationship Id="rId16" Type="http://schemas.openxmlformats.org/officeDocument/2006/relationships/hyperlink" Target="http://www.state.gov/p/wha/ci/bb/" TargetMode="External"/><Relationship Id="rId107" Type="http://schemas.openxmlformats.org/officeDocument/2006/relationships/hyperlink" Target="http://www.state.gov/p/eap/ci/ch/index.htm" TargetMode="External"/><Relationship Id="rId11" Type="http://schemas.openxmlformats.org/officeDocument/2006/relationships/hyperlink" Target="http://www.state.gov/p/eur/ci/au/" TargetMode="External"/><Relationship Id="rId32" Type="http://schemas.openxmlformats.org/officeDocument/2006/relationships/hyperlink" Target="http://www.state.gov/p/af/ci/cm/" TargetMode="External"/><Relationship Id="rId37" Type="http://schemas.openxmlformats.org/officeDocument/2006/relationships/hyperlink" Target="http://www.state.gov/p/wha/ci/ci/" TargetMode="External"/><Relationship Id="rId53" Type="http://schemas.openxmlformats.org/officeDocument/2006/relationships/hyperlink" Target="http://www.state.gov/p/wha/ci/dr/" TargetMode="External"/><Relationship Id="rId58" Type="http://schemas.openxmlformats.org/officeDocument/2006/relationships/hyperlink" Target="http://www.state.gov/p/af/ci/er/" TargetMode="External"/><Relationship Id="rId74" Type="http://schemas.openxmlformats.org/officeDocument/2006/relationships/hyperlink" Target="http://www.state.gov/p/wha/ci/gy/" TargetMode="External"/><Relationship Id="rId79" Type="http://schemas.openxmlformats.org/officeDocument/2006/relationships/hyperlink" Target="http://www.state.gov/p/eur/ci/ic/" TargetMode="External"/><Relationship Id="rId102" Type="http://schemas.openxmlformats.org/officeDocument/2006/relationships/hyperlink" Target="http://www.state.gov/p/af/ci/li/" TargetMode="External"/><Relationship Id="rId123" Type="http://schemas.openxmlformats.org/officeDocument/2006/relationships/hyperlink" Target="http://www.state.gov/p/eur/ci/mj/" TargetMode="External"/><Relationship Id="rId128" Type="http://schemas.openxmlformats.org/officeDocument/2006/relationships/hyperlink" Target="http://www.state.gov/p/sca/ci/np/" TargetMode="External"/><Relationship Id="rId144" Type="http://schemas.openxmlformats.org/officeDocument/2006/relationships/hyperlink" Target="http://www.state.gov/p/wha/ci/pe/" TargetMode="External"/><Relationship Id="rId149" Type="http://schemas.openxmlformats.org/officeDocument/2006/relationships/hyperlink" Target="http://www.state.gov/p/eur/ci/ro/" TargetMode="External"/><Relationship Id="rId5" Type="http://schemas.openxmlformats.org/officeDocument/2006/relationships/hyperlink" Target="http://www.state.gov/p/af/ci/ao/" TargetMode="External"/><Relationship Id="rId90" Type="http://schemas.openxmlformats.org/officeDocument/2006/relationships/hyperlink" Target="http://www.state.gov/p/sca/ci/kz/" TargetMode="External"/><Relationship Id="rId95" Type="http://schemas.openxmlformats.org/officeDocument/2006/relationships/hyperlink" Target="http://www.state.gov/p/eur/ci/kv/" TargetMode="External"/><Relationship Id="rId160" Type="http://schemas.openxmlformats.org/officeDocument/2006/relationships/hyperlink" Target="http://www.state.gov/p/eur/ci/ri" TargetMode="External"/><Relationship Id="rId165" Type="http://schemas.openxmlformats.org/officeDocument/2006/relationships/hyperlink" Target="http://www.state.gov/p/eur/ci/lo/" TargetMode="External"/><Relationship Id="rId181" Type="http://schemas.openxmlformats.org/officeDocument/2006/relationships/hyperlink" Target="http://www.state.gov/p/sca/ci/ti/" TargetMode="External"/><Relationship Id="rId186" Type="http://schemas.openxmlformats.org/officeDocument/2006/relationships/hyperlink" Target="http://www.state.gov/p/eap/ci/tn/" TargetMode="External"/><Relationship Id="rId22" Type="http://schemas.openxmlformats.org/officeDocument/2006/relationships/hyperlink" Target="http://www.state.gov/p/wha/ci/bl/" TargetMode="External"/><Relationship Id="rId27" Type="http://schemas.openxmlformats.org/officeDocument/2006/relationships/hyperlink" Target="http://www.state.gov/p/eur/ci/bu/" TargetMode="External"/><Relationship Id="rId43" Type="http://schemas.openxmlformats.org/officeDocument/2006/relationships/hyperlink" Target="http://www.state.gov/p/wha/ci/cs/" TargetMode="External"/><Relationship Id="rId48" Type="http://schemas.openxmlformats.org/officeDocument/2006/relationships/hyperlink" Target="http://www.state.gov/p/eur/ci/cy/" TargetMode="External"/><Relationship Id="rId64" Type="http://schemas.openxmlformats.org/officeDocument/2006/relationships/hyperlink" Target="http://www.state.gov/p/af/ci/gb/" TargetMode="External"/><Relationship Id="rId69" Type="http://schemas.openxmlformats.org/officeDocument/2006/relationships/hyperlink" Target="http://www.state.gov/p/eur/ci/gr/" TargetMode="External"/><Relationship Id="rId113" Type="http://schemas.openxmlformats.org/officeDocument/2006/relationships/hyperlink" Target="http://www.state.gov/p/af/ci/ml/" TargetMode="External"/><Relationship Id="rId118" Type="http://schemas.openxmlformats.org/officeDocument/2006/relationships/hyperlink" Target="http://www.state.gov/p/wha/ci/mx/" TargetMode="External"/><Relationship Id="rId134" Type="http://schemas.openxmlformats.org/officeDocument/2006/relationships/hyperlink" Target="http://www.state.gov/p/af/ci/ni/" TargetMode="External"/><Relationship Id="rId139" Type="http://schemas.openxmlformats.org/officeDocument/2006/relationships/hyperlink" Target="http://www.state.gov/p/eap/ci/ps/" TargetMode="External"/><Relationship Id="rId80" Type="http://schemas.openxmlformats.org/officeDocument/2006/relationships/hyperlink" Target="http://www.state.gov/p/sca/ci/in/" TargetMode="External"/><Relationship Id="rId85" Type="http://schemas.openxmlformats.org/officeDocument/2006/relationships/hyperlink" Target="http://www.state.gov/p/nea/ci/is/" TargetMode="External"/><Relationship Id="rId150" Type="http://schemas.openxmlformats.org/officeDocument/2006/relationships/hyperlink" Target="http://www.state.gov/p/eur/ci/rs/" TargetMode="External"/><Relationship Id="rId155" Type="http://schemas.openxmlformats.org/officeDocument/2006/relationships/hyperlink" Target="http://www.state.gov/p/eap/ci/ws/" TargetMode="External"/><Relationship Id="rId171" Type="http://schemas.openxmlformats.org/officeDocument/2006/relationships/hyperlink" Target="http://www.state.gov/p/af/ci/od/index.htm" TargetMode="External"/><Relationship Id="rId176" Type="http://schemas.openxmlformats.org/officeDocument/2006/relationships/hyperlink" Target="http://www.state.gov/p/af/ci/wz/" TargetMode="External"/><Relationship Id="rId192" Type="http://schemas.openxmlformats.org/officeDocument/2006/relationships/hyperlink" Target="http://www.state.gov/p/af/ci/ug/" TargetMode="External"/><Relationship Id="rId197" Type="http://schemas.openxmlformats.org/officeDocument/2006/relationships/hyperlink" Target="http://www.state.gov/p/sca/ci/uz/" TargetMode="External"/><Relationship Id="rId201" Type="http://schemas.openxmlformats.org/officeDocument/2006/relationships/hyperlink" Target="http://www.state.gov/p/nea/ci/ym" TargetMode="External"/><Relationship Id="rId12" Type="http://schemas.openxmlformats.org/officeDocument/2006/relationships/hyperlink" Target="http://www.state.gov/p/eur/ci/aj/" TargetMode="External"/><Relationship Id="rId17" Type="http://schemas.openxmlformats.org/officeDocument/2006/relationships/hyperlink" Target="http://www.state.gov/p/eur/ci/bo/" TargetMode="External"/><Relationship Id="rId33" Type="http://schemas.openxmlformats.org/officeDocument/2006/relationships/hyperlink" Target="http://www.state.gov/p/wha/ci/ca/" TargetMode="External"/><Relationship Id="rId38" Type="http://schemas.openxmlformats.org/officeDocument/2006/relationships/hyperlink" Target="http://www.state.gov/p/eap/ci/ch/" TargetMode="External"/><Relationship Id="rId59" Type="http://schemas.openxmlformats.org/officeDocument/2006/relationships/hyperlink" Target="http://www.state.gov/p/eur/ci/en/" TargetMode="External"/><Relationship Id="rId103" Type="http://schemas.openxmlformats.org/officeDocument/2006/relationships/hyperlink" Target="http://www.state.gov/p/nea/ci/ly" TargetMode="External"/><Relationship Id="rId108" Type="http://schemas.openxmlformats.org/officeDocument/2006/relationships/hyperlink" Target="http://www.state.gov/p/eur/ci/mk/" TargetMode="External"/><Relationship Id="rId124" Type="http://schemas.openxmlformats.org/officeDocument/2006/relationships/hyperlink" Target="http://www.state.gov/p/nea/ci/mo" TargetMode="External"/><Relationship Id="rId129" Type="http://schemas.openxmlformats.org/officeDocument/2006/relationships/hyperlink" Target="http://www.state.gov/p/eur/ci/nl/" TargetMode="External"/><Relationship Id="rId54" Type="http://schemas.openxmlformats.org/officeDocument/2006/relationships/hyperlink" Target="http://www.state.gov/p/wha/ci/ec/" TargetMode="External"/><Relationship Id="rId70" Type="http://schemas.openxmlformats.org/officeDocument/2006/relationships/hyperlink" Target="http://www.state.gov/p/wha/ci/gj/" TargetMode="External"/><Relationship Id="rId75" Type="http://schemas.openxmlformats.org/officeDocument/2006/relationships/hyperlink" Target="http://www.state.gov/p/wha/ci/ha/" TargetMode="External"/><Relationship Id="rId91" Type="http://schemas.openxmlformats.org/officeDocument/2006/relationships/hyperlink" Target="http://www.state.gov/p/af/ci/ke/" TargetMode="External"/><Relationship Id="rId96" Type="http://schemas.openxmlformats.org/officeDocument/2006/relationships/hyperlink" Target="http://www.state.gov/p/nea/ci/ku" TargetMode="External"/><Relationship Id="rId140" Type="http://schemas.openxmlformats.org/officeDocument/2006/relationships/hyperlink" Target="http://www.state.gov/p/nea/ci/pt" TargetMode="External"/><Relationship Id="rId145" Type="http://schemas.openxmlformats.org/officeDocument/2006/relationships/hyperlink" Target="http://www.state.gov/p/eap/ci/rp/" TargetMode="External"/><Relationship Id="rId161" Type="http://schemas.openxmlformats.org/officeDocument/2006/relationships/hyperlink" Target="http://www.state.gov/p/af/ci/se/" TargetMode="External"/><Relationship Id="rId166" Type="http://schemas.openxmlformats.org/officeDocument/2006/relationships/hyperlink" Target="http://www.state.gov/p/eur/ci/si/" TargetMode="External"/><Relationship Id="rId182" Type="http://schemas.openxmlformats.org/officeDocument/2006/relationships/hyperlink" Target="http://www.state.gov/p/af/ci/tz/" TargetMode="External"/><Relationship Id="rId187" Type="http://schemas.openxmlformats.org/officeDocument/2006/relationships/hyperlink" Target="http://www.state.gov/p/wha/ci/td/" TargetMode="External"/><Relationship Id="rId1" Type="http://schemas.openxmlformats.org/officeDocument/2006/relationships/hyperlink" Target="http://www.state.gov/p/sca/ci/af/" TargetMode="External"/><Relationship Id="rId6" Type="http://schemas.openxmlformats.org/officeDocument/2006/relationships/hyperlink" Target="http://www.state.gov/p/wha/ci/ac/" TargetMode="External"/><Relationship Id="rId23" Type="http://schemas.openxmlformats.org/officeDocument/2006/relationships/hyperlink" Target="http://www.state.gov/p/eur/ci/bk/" TargetMode="External"/><Relationship Id="rId28" Type="http://schemas.openxmlformats.org/officeDocument/2006/relationships/hyperlink" Target="http://www.state.gov/p/af/ci/uv/" TargetMode="External"/><Relationship Id="rId49" Type="http://schemas.openxmlformats.org/officeDocument/2006/relationships/hyperlink" Target="http://www.state.gov/p/eur/ci/ez/" TargetMode="External"/><Relationship Id="rId114" Type="http://schemas.openxmlformats.org/officeDocument/2006/relationships/hyperlink" Target="http://www.state.gov/p/eur/ci/mt/" TargetMode="External"/><Relationship Id="rId119" Type="http://schemas.openxmlformats.org/officeDocument/2006/relationships/hyperlink" Target="http://www.state.gov/p/eap/ci/fm/" TargetMode="External"/><Relationship Id="rId44" Type="http://schemas.openxmlformats.org/officeDocument/2006/relationships/hyperlink" Target="http://www.state.gov/p/af/ci/iv/" TargetMode="External"/><Relationship Id="rId60" Type="http://schemas.openxmlformats.org/officeDocument/2006/relationships/hyperlink" Target="http://www.state.gov/p/af/ci/et/" TargetMode="External"/><Relationship Id="rId65" Type="http://schemas.openxmlformats.org/officeDocument/2006/relationships/hyperlink" Target="http://www.state.gov/p/af/ci/ga/" TargetMode="External"/><Relationship Id="rId81" Type="http://schemas.openxmlformats.org/officeDocument/2006/relationships/hyperlink" Target="http://www.state.gov/p/eap/ci/id/" TargetMode="External"/><Relationship Id="rId86" Type="http://schemas.openxmlformats.org/officeDocument/2006/relationships/hyperlink" Target="http://www.state.gov/p/eur/ci/it/" TargetMode="External"/><Relationship Id="rId130" Type="http://schemas.openxmlformats.org/officeDocument/2006/relationships/hyperlink" Target="http://www.state.gov/r/pa/ei/bgn/22528.htm" TargetMode="External"/><Relationship Id="rId135" Type="http://schemas.openxmlformats.org/officeDocument/2006/relationships/hyperlink" Target="http://www.state.gov/p/eap/ci/kn/" TargetMode="External"/><Relationship Id="rId151" Type="http://schemas.openxmlformats.org/officeDocument/2006/relationships/hyperlink" Target="http://www.state.gov/p/af/ci/rw/" TargetMode="External"/><Relationship Id="rId156" Type="http://schemas.openxmlformats.org/officeDocument/2006/relationships/hyperlink" Target="http://www.state.gov/p/eur/ci/sm/" TargetMode="External"/><Relationship Id="rId177" Type="http://schemas.openxmlformats.org/officeDocument/2006/relationships/hyperlink" Target="http://www.state.gov/p/eur/ci/sw/" TargetMode="External"/><Relationship Id="rId198" Type="http://schemas.openxmlformats.org/officeDocument/2006/relationships/hyperlink" Target="http://www.state.gov/p/eap/ci/nh/" TargetMode="External"/><Relationship Id="rId172" Type="http://schemas.openxmlformats.org/officeDocument/2006/relationships/hyperlink" Target="http://www.state.gov/p/eur/ci/sp/" TargetMode="External"/><Relationship Id="rId193" Type="http://schemas.openxmlformats.org/officeDocument/2006/relationships/hyperlink" Target="http://www.state.gov/p/eur/ci/up/" TargetMode="External"/><Relationship Id="rId202" Type="http://schemas.openxmlformats.org/officeDocument/2006/relationships/hyperlink" Target="http://www.state.gov/p/af/ci/za/" TargetMode="External"/><Relationship Id="rId13" Type="http://schemas.openxmlformats.org/officeDocument/2006/relationships/hyperlink" Target="http://www.state.gov/p/wha/ci/bf/" TargetMode="External"/><Relationship Id="rId18" Type="http://schemas.openxmlformats.org/officeDocument/2006/relationships/hyperlink" Target="http://www.state.gov/p/eur/ci/be/" TargetMode="External"/><Relationship Id="rId39" Type="http://schemas.openxmlformats.org/officeDocument/2006/relationships/hyperlink" Target="http://www.state.gov/p/wha/ci/co/" TargetMode="External"/><Relationship Id="rId109" Type="http://schemas.openxmlformats.org/officeDocument/2006/relationships/hyperlink" Target="http://www.state.gov/p/af/ci/ma/" TargetMode="External"/><Relationship Id="rId34" Type="http://schemas.openxmlformats.org/officeDocument/2006/relationships/hyperlink" Target="http://www.state.gov/p/af/ci/cv/" TargetMode="External"/><Relationship Id="rId50" Type="http://schemas.openxmlformats.org/officeDocument/2006/relationships/hyperlink" Target="http://www.state.gov/p/eur/ci/da/" TargetMode="External"/><Relationship Id="rId55" Type="http://schemas.openxmlformats.org/officeDocument/2006/relationships/hyperlink" Target="http://www.state.gov/p/nea/ci/eg" TargetMode="External"/><Relationship Id="rId76" Type="http://schemas.openxmlformats.org/officeDocument/2006/relationships/hyperlink" Target="http://www.state.gov/p/wha/ci/ho/" TargetMode="External"/><Relationship Id="rId97" Type="http://schemas.openxmlformats.org/officeDocument/2006/relationships/hyperlink" Target="http://www.state.gov/p/sca/ci/kg/" TargetMode="External"/><Relationship Id="rId104" Type="http://schemas.openxmlformats.org/officeDocument/2006/relationships/hyperlink" Target="http://www.state.gov/p/eur/ci/ls/" TargetMode="External"/><Relationship Id="rId120" Type="http://schemas.openxmlformats.org/officeDocument/2006/relationships/hyperlink" Target="http://www.state.gov/p/eur/ci/md/" TargetMode="External"/><Relationship Id="rId125" Type="http://schemas.openxmlformats.org/officeDocument/2006/relationships/hyperlink" Target="http://www.state.gov/p/af/ci/mz/" TargetMode="External"/><Relationship Id="rId141" Type="http://schemas.openxmlformats.org/officeDocument/2006/relationships/hyperlink" Target="http://www.state.gov/p/wha/ci/pm/" TargetMode="External"/><Relationship Id="rId146" Type="http://schemas.openxmlformats.org/officeDocument/2006/relationships/hyperlink" Target="http://www.state.gov/p/eur/ci/pl/" TargetMode="External"/><Relationship Id="rId167" Type="http://schemas.openxmlformats.org/officeDocument/2006/relationships/hyperlink" Target="http://www.state.gov/p/eap/ci/bp/" TargetMode="External"/><Relationship Id="rId188" Type="http://schemas.openxmlformats.org/officeDocument/2006/relationships/hyperlink" Target="http://www.state.gov/p/nea/ci/ts" TargetMode="External"/><Relationship Id="rId7" Type="http://schemas.openxmlformats.org/officeDocument/2006/relationships/hyperlink" Target="http://www.state.gov/p/wha/ci/ar/" TargetMode="External"/><Relationship Id="rId71" Type="http://schemas.openxmlformats.org/officeDocument/2006/relationships/hyperlink" Target="http://www.state.gov/p/wha/ci/gt/" TargetMode="External"/><Relationship Id="rId92" Type="http://schemas.openxmlformats.org/officeDocument/2006/relationships/hyperlink" Target="http://www.state.gov/p/eap/ci/kr/" TargetMode="External"/><Relationship Id="rId162" Type="http://schemas.openxmlformats.org/officeDocument/2006/relationships/hyperlink" Target="http://www.state.gov/p/af/ci/sl/" TargetMode="External"/><Relationship Id="rId183" Type="http://schemas.openxmlformats.org/officeDocument/2006/relationships/hyperlink" Target="http://www.state.gov/p/eap/ci/th/" TargetMode="External"/><Relationship Id="rId2" Type="http://schemas.openxmlformats.org/officeDocument/2006/relationships/hyperlink" Target="http://www.state.gov/p/eur/ci/al/" TargetMode="External"/><Relationship Id="rId29" Type="http://schemas.openxmlformats.org/officeDocument/2006/relationships/hyperlink" Target="http://www.state.gov/p/eap/ci/bm/" TargetMode="External"/><Relationship Id="rId24" Type="http://schemas.openxmlformats.org/officeDocument/2006/relationships/hyperlink" Target="http://www.state.gov/p/af/ci/bc/" TargetMode="External"/><Relationship Id="rId40" Type="http://schemas.openxmlformats.org/officeDocument/2006/relationships/hyperlink" Target="http://www.state.gov/p/af/ci/cn/" TargetMode="External"/><Relationship Id="rId45" Type="http://schemas.openxmlformats.org/officeDocument/2006/relationships/hyperlink" Target="http://www.state.gov/p/eur/ci/hr/" TargetMode="External"/><Relationship Id="rId66" Type="http://schemas.openxmlformats.org/officeDocument/2006/relationships/hyperlink" Target="http://www.state.gov/p/eur/ci/gg/" TargetMode="External"/><Relationship Id="rId87" Type="http://schemas.openxmlformats.org/officeDocument/2006/relationships/hyperlink" Target="http://www.state.gov/p/wha/ci/jm/" TargetMode="External"/><Relationship Id="rId110" Type="http://schemas.openxmlformats.org/officeDocument/2006/relationships/hyperlink" Target="http://www.state.gov/p/af/ci/mi/" TargetMode="External"/><Relationship Id="rId115" Type="http://schemas.openxmlformats.org/officeDocument/2006/relationships/hyperlink" Target="http://www.state.gov/p/eap/ci/rm/" TargetMode="External"/><Relationship Id="rId131" Type="http://schemas.openxmlformats.org/officeDocument/2006/relationships/hyperlink" Target="http://www.state.gov/p/eap/ci/nz/" TargetMode="External"/><Relationship Id="rId136" Type="http://schemas.openxmlformats.org/officeDocument/2006/relationships/hyperlink" Target="http://www.state.gov/p/eur/ci/no/" TargetMode="External"/><Relationship Id="rId157" Type="http://schemas.openxmlformats.org/officeDocument/2006/relationships/hyperlink" Target="http://www.state.gov/p/af/ci/tp/" TargetMode="External"/><Relationship Id="rId178" Type="http://schemas.openxmlformats.org/officeDocument/2006/relationships/hyperlink" Target="http://www.state.gov/p/eur/ci/sz/" TargetMode="External"/><Relationship Id="rId61" Type="http://schemas.openxmlformats.org/officeDocument/2006/relationships/hyperlink" Target="http://www.state.gov/p/eap/ci/fj/" TargetMode="External"/><Relationship Id="rId82" Type="http://schemas.openxmlformats.org/officeDocument/2006/relationships/hyperlink" Target="http://www.state.gov/p/nea/ci/ir" TargetMode="External"/><Relationship Id="rId152" Type="http://schemas.openxmlformats.org/officeDocument/2006/relationships/hyperlink" Target="http://www.state.gov/p/wha/ci/sc/" TargetMode="External"/><Relationship Id="rId173" Type="http://schemas.openxmlformats.org/officeDocument/2006/relationships/hyperlink" Target="http://www.state.gov/p/sca/ci/ce/" TargetMode="External"/><Relationship Id="rId194" Type="http://schemas.openxmlformats.org/officeDocument/2006/relationships/hyperlink" Target="http://www.state.gov/p/nea/ci/ae" TargetMode="External"/><Relationship Id="rId199" Type="http://schemas.openxmlformats.org/officeDocument/2006/relationships/hyperlink" Target="http://www.state.gov/p/wha/ci/ve/" TargetMode="External"/><Relationship Id="rId203" Type="http://schemas.openxmlformats.org/officeDocument/2006/relationships/hyperlink" Target="http://www.state.gov/p/af/ci/zi/" TargetMode="External"/><Relationship Id="rId19" Type="http://schemas.openxmlformats.org/officeDocument/2006/relationships/hyperlink" Target="http://www.state.gov/p/wha/ci/bh/" TargetMode="External"/><Relationship Id="rId14" Type="http://schemas.openxmlformats.org/officeDocument/2006/relationships/hyperlink" Target="http://www.state.gov/p/nea/ci/ba" TargetMode="External"/><Relationship Id="rId30" Type="http://schemas.openxmlformats.org/officeDocument/2006/relationships/hyperlink" Target="http://www.state.gov/p/af/ci/by/" TargetMode="External"/><Relationship Id="rId35" Type="http://schemas.openxmlformats.org/officeDocument/2006/relationships/hyperlink" Target="http://www.state.gov/p/af/ci/car/" TargetMode="External"/><Relationship Id="rId56" Type="http://schemas.openxmlformats.org/officeDocument/2006/relationships/hyperlink" Target="http://www.state.gov/p/wha/ci/es/" TargetMode="External"/><Relationship Id="rId77" Type="http://schemas.openxmlformats.org/officeDocument/2006/relationships/hyperlink" Target="http://www.state.gov/p/eap/ci/ch/index.htm" TargetMode="External"/><Relationship Id="rId100" Type="http://schemas.openxmlformats.org/officeDocument/2006/relationships/hyperlink" Target="http://www.state.gov/p/nea/ci/le" TargetMode="External"/><Relationship Id="rId105" Type="http://schemas.openxmlformats.org/officeDocument/2006/relationships/hyperlink" Target="http://www.state.gov/p/eur/ci/lh/" TargetMode="External"/><Relationship Id="rId126" Type="http://schemas.openxmlformats.org/officeDocument/2006/relationships/hyperlink" Target="http://www.state.gov/p/af/ci/wa/" TargetMode="External"/><Relationship Id="rId147" Type="http://schemas.openxmlformats.org/officeDocument/2006/relationships/hyperlink" Target="http://www.state.gov/p/eur/ci/po/" TargetMode="External"/><Relationship Id="rId168" Type="http://schemas.openxmlformats.org/officeDocument/2006/relationships/hyperlink" Target="http://www.state.gov/p/af/ci/so/" TargetMode="External"/><Relationship Id="rId8" Type="http://schemas.openxmlformats.org/officeDocument/2006/relationships/hyperlink" Target="http://www.state.gov/p/eur/ci/am/" TargetMode="External"/><Relationship Id="rId51" Type="http://schemas.openxmlformats.org/officeDocument/2006/relationships/hyperlink" Target="http://www.state.gov/p/af/ci/dj/" TargetMode="External"/><Relationship Id="rId72" Type="http://schemas.openxmlformats.org/officeDocument/2006/relationships/hyperlink" Target="http://www.state.gov/p/af/ci/gv/" TargetMode="External"/><Relationship Id="rId93" Type="http://schemas.openxmlformats.org/officeDocument/2006/relationships/hyperlink" Target="http://www.state.gov/p/eap/ci/kn/" TargetMode="External"/><Relationship Id="rId98" Type="http://schemas.openxmlformats.org/officeDocument/2006/relationships/hyperlink" Target="http://www.state.gov/p/eap/ci/la/" TargetMode="External"/><Relationship Id="rId121" Type="http://schemas.openxmlformats.org/officeDocument/2006/relationships/hyperlink" Target="http://www.state.gov/p/eur/ci/mn/" TargetMode="External"/><Relationship Id="rId142" Type="http://schemas.openxmlformats.org/officeDocument/2006/relationships/hyperlink" Target="http://www.state.gov/p/eap/ci/pp/" TargetMode="External"/><Relationship Id="rId163" Type="http://schemas.openxmlformats.org/officeDocument/2006/relationships/hyperlink" Target="http://www.state.gov/p/eap/ci/sn/" TargetMode="External"/><Relationship Id="rId184" Type="http://schemas.openxmlformats.org/officeDocument/2006/relationships/hyperlink" Target="http://www.state.gov/p/eap/ci/tt/" TargetMode="External"/><Relationship Id="rId189" Type="http://schemas.openxmlformats.org/officeDocument/2006/relationships/hyperlink" Target="http://www.state.gov/p/eur/ci/tu/" TargetMode="External"/><Relationship Id="rId3" Type="http://schemas.openxmlformats.org/officeDocument/2006/relationships/hyperlink" Target="http://www.state.gov/p/nea/ci/ag" TargetMode="External"/><Relationship Id="rId25" Type="http://schemas.openxmlformats.org/officeDocument/2006/relationships/hyperlink" Target="http://www.state.gov/p/wha/ci/br/" TargetMode="External"/><Relationship Id="rId46" Type="http://schemas.openxmlformats.org/officeDocument/2006/relationships/hyperlink" Target="http://www.state.gov/p/wha/ci/cu/" TargetMode="External"/><Relationship Id="rId67" Type="http://schemas.openxmlformats.org/officeDocument/2006/relationships/hyperlink" Target="http://www.state.gov/p/eur/ci/gm/" TargetMode="External"/><Relationship Id="rId116" Type="http://schemas.openxmlformats.org/officeDocument/2006/relationships/hyperlink" Target="http://www.state.gov/p/af/ci/mr/" TargetMode="External"/><Relationship Id="rId137" Type="http://schemas.openxmlformats.org/officeDocument/2006/relationships/hyperlink" Target="http://www.state.gov/p/nea/ci/mu" TargetMode="External"/><Relationship Id="rId158" Type="http://schemas.openxmlformats.org/officeDocument/2006/relationships/hyperlink" Target="http://www.state.gov/p/nea/ci/sa" TargetMode="External"/><Relationship Id="rId20" Type="http://schemas.openxmlformats.org/officeDocument/2006/relationships/hyperlink" Target="http://www.state.gov/p/af/ci/bn/" TargetMode="External"/><Relationship Id="rId41" Type="http://schemas.openxmlformats.org/officeDocument/2006/relationships/hyperlink" Target="http://www.state.gov/p/af/ci/cg/" TargetMode="External"/><Relationship Id="rId62" Type="http://schemas.openxmlformats.org/officeDocument/2006/relationships/hyperlink" Target="http://www.state.gov/p/eur/ci/fi/" TargetMode="External"/><Relationship Id="rId83" Type="http://schemas.openxmlformats.org/officeDocument/2006/relationships/hyperlink" Target="http://www.state.gov/p/nea/ci/iz" TargetMode="External"/><Relationship Id="rId88" Type="http://schemas.openxmlformats.org/officeDocument/2006/relationships/hyperlink" Target="http://www.state.gov/p/eap/ci/ja/" TargetMode="External"/><Relationship Id="rId111" Type="http://schemas.openxmlformats.org/officeDocument/2006/relationships/hyperlink" Target="http://www.state.gov/p/eap/ci/my/" TargetMode="External"/><Relationship Id="rId132" Type="http://schemas.openxmlformats.org/officeDocument/2006/relationships/hyperlink" Target="http://www.state.gov/p/wha/ci/nu/" TargetMode="External"/><Relationship Id="rId153" Type="http://schemas.openxmlformats.org/officeDocument/2006/relationships/hyperlink" Target="http://www.state.gov/p/wha/ci/st/" TargetMode="External"/><Relationship Id="rId174" Type="http://schemas.openxmlformats.org/officeDocument/2006/relationships/hyperlink" Target="http://www.state.gov/p/af/ci/su/" TargetMode="External"/><Relationship Id="rId179" Type="http://schemas.openxmlformats.org/officeDocument/2006/relationships/hyperlink" Target="http://www.state.gov/p/nea/ci/sy" TargetMode="External"/><Relationship Id="rId195" Type="http://schemas.openxmlformats.org/officeDocument/2006/relationships/hyperlink" Target="http://www.state.gov/p/eur/ci/uk/" TargetMode="External"/><Relationship Id="rId190" Type="http://schemas.openxmlformats.org/officeDocument/2006/relationships/hyperlink" Target="http://www.state.gov/p/sca/ci/tx/" TargetMode="External"/><Relationship Id="rId204" Type="http://schemas.openxmlformats.org/officeDocument/2006/relationships/printerSettings" Target="../printerSettings/printerSettings8.bin"/><Relationship Id="rId15" Type="http://schemas.openxmlformats.org/officeDocument/2006/relationships/hyperlink" Target="http://www.state.gov/p/sca/ci/bg/" TargetMode="External"/><Relationship Id="rId36" Type="http://schemas.openxmlformats.org/officeDocument/2006/relationships/hyperlink" Target="http://www.state.gov/p/af/ci/cd/" TargetMode="External"/><Relationship Id="rId57" Type="http://schemas.openxmlformats.org/officeDocument/2006/relationships/hyperlink" Target="http://www.state.gov/p/af/ci/ek/" TargetMode="External"/><Relationship Id="rId106" Type="http://schemas.openxmlformats.org/officeDocument/2006/relationships/hyperlink" Target="http://www.state.gov/p/eur/ci/lu/" TargetMode="External"/><Relationship Id="rId127" Type="http://schemas.openxmlformats.org/officeDocument/2006/relationships/hyperlink" Target="http://www.state.gov/p/eap/ci/nr/" TargetMode="External"/><Relationship Id="rId10" Type="http://schemas.openxmlformats.org/officeDocument/2006/relationships/hyperlink" Target="http://www.state.gov/p/eap/ci/as/" TargetMode="External"/><Relationship Id="rId31" Type="http://schemas.openxmlformats.org/officeDocument/2006/relationships/hyperlink" Target="http://www.state.gov/p/eap/ci/cb/" TargetMode="External"/><Relationship Id="rId52" Type="http://schemas.openxmlformats.org/officeDocument/2006/relationships/hyperlink" Target="http://www.state.gov/p/wha/ci/do/" TargetMode="External"/><Relationship Id="rId73" Type="http://schemas.openxmlformats.org/officeDocument/2006/relationships/hyperlink" Target="http://www.state.gov/p/af/ci/pu/" TargetMode="External"/><Relationship Id="rId78" Type="http://schemas.openxmlformats.org/officeDocument/2006/relationships/hyperlink" Target="http://www.state.gov/p/eur/ci/hu/" TargetMode="External"/><Relationship Id="rId94" Type="http://schemas.openxmlformats.org/officeDocument/2006/relationships/hyperlink" Target="http://www.state.gov/p/eap/ci/ks/" TargetMode="External"/><Relationship Id="rId99" Type="http://schemas.openxmlformats.org/officeDocument/2006/relationships/hyperlink" Target="http://www.state.gov/p/eur/ci/lg/" TargetMode="External"/><Relationship Id="rId101" Type="http://schemas.openxmlformats.org/officeDocument/2006/relationships/hyperlink" Target="http://www.state.gov/p/af/ci/lt/" TargetMode="External"/><Relationship Id="rId122" Type="http://schemas.openxmlformats.org/officeDocument/2006/relationships/hyperlink" Target="http://www.state.gov/p/eap/ci/mg/" TargetMode="External"/><Relationship Id="rId143" Type="http://schemas.openxmlformats.org/officeDocument/2006/relationships/hyperlink" Target="http://www.state.gov/p/wha/ci/pa/" TargetMode="External"/><Relationship Id="rId148" Type="http://schemas.openxmlformats.org/officeDocument/2006/relationships/hyperlink" Target="http://www.state.gov/p/nea/ci/qa" TargetMode="External"/><Relationship Id="rId164" Type="http://schemas.openxmlformats.org/officeDocument/2006/relationships/hyperlink" Target="http://www.state.gov/p/eur/ci/nl/" TargetMode="External"/><Relationship Id="rId169" Type="http://schemas.openxmlformats.org/officeDocument/2006/relationships/hyperlink" Target="http://www.state.gov/p/af/ci/sf/" TargetMode="External"/><Relationship Id="rId185" Type="http://schemas.openxmlformats.org/officeDocument/2006/relationships/hyperlink" Target="http://www.state.gov/p/af/ci/to/" TargetMode="External"/><Relationship Id="rId4" Type="http://schemas.openxmlformats.org/officeDocument/2006/relationships/hyperlink" Target="http://www.state.gov/p/eur/ci/an/" TargetMode="External"/><Relationship Id="rId9" Type="http://schemas.openxmlformats.org/officeDocument/2006/relationships/hyperlink" Target="http://www.state.gov/p/eur/ci/nl/" TargetMode="External"/><Relationship Id="rId180" Type="http://schemas.openxmlformats.org/officeDocument/2006/relationships/hyperlink" Target="http://www.state.gov/p/eap/ci/taiwan/" TargetMode="External"/><Relationship Id="rId26" Type="http://schemas.openxmlformats.org/officeDocument/2006/relationships/hyperlink" Target="http://www.state.gov/p/eap/ci/bx/" TargetMode="External"/><Relationship Id="rId47" Type="http://schemas.openxmlformats.org/officeDocument/2006/relationships/hyperlink" Target="http://www.state.gov/p/eur/ci/nl/" TargetMode="External"/><Relationship Id="rId68" Type="http://schemas.openxmlformats.org/officeDocument/2006/relationships/hyperlink" Target="http://www.state.gov/p/af/ci/gh/" TargetMode="External"/><Relationship Id="rId89" Type="http://schemas.openxmlformats.org/officeDocument/2006/relationships/hyperlink" Target="http://www.state.gov/p/nea/ci/jo/" TargetMode="External"/><Relationship Id="rId112" Type="http://schemas.openxmlformats.org/officeDocument/2006/relationships/hyperlink" Target="http://www.state.gov/p/sca/ci/mv/" TargetMode="External"/><Relationship Id="rId133" Type="http://schemas.openxmlformats.org/officeDocument/2006/relationships/hyperlink" Target="http://www.state.gov/p/af/ci/ng/" TargetMode="External"/><Relationship Id="rId154" Type="http://schemas.openxmlformats.org/officeDocument/2006/relationships/hyperlink" Target="http://www.state.gov/p/wha/ci/vc/" TargetMode="External"/><Relationship Id="rId175" Type="http://schemas.openxmlformats.org/officeDocument/2006/relationships/hyperlink" Target="http://www.state.gov/p/wha/ci/ns/"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B49"/>
  <sheetViews>
    <sheetView zoomScaleNormal="100" workbookViewId="0">
      <selection sqref="A1:B1"/>
    </sheetView>
  </sheetViews>
  <sheetFormatPr defaultColWidth="11.453125" defaultRowHeight="12.5" x14ac:dyDescent="0.25"/>
  <cols>
    <col min="1" max="1" width="57.453125" style="139" customWidth="1"/>
    <col min="2" max="2" width="81" style="139" customWidth="1"/>
    <col min="3" max="16384" width="11.453125" style="139"/>
  </cols>
  <sheetData>
    <row r="1" spans="1:2" ht="45" customHeight="1" x14ac:dyDescent="0.25">
      <c r="A1" s="240" t="s">
        <v>0</v>
      </c>
      <c r="B1" s="240"/>
    </row>
    <row r="2" spans="1:2" ht="45" customHeight="1" x14ac:dyDescent="0.25">
      <c r="A2" s="241" t="s">
        <v>1</v>
      </c>
      <c r="B2" s="242"/>
    </row>
    <row r="3" spans="1:2" ht="25" customHeight="1" x14ac:dyDescent="0.25">
      <c r="A3" s="243" t="s">
        <v>2</v>
      </c>
      <c r="B3" s="244"/>
    </row>
    <row r="4" spans="1:2" ht="25" customHeight="1" x14ac:dyDescent="0.25">
      <c r="A4" s="245" t="s">
        <v>3</v>
      </c>
      <c r="B4" s="246"/>
    </row>
    <row r="5" spans="1:2" ht="25" customHeight="1" x14ac:dyDescent="0.25">
      <c r="A5" s="238" t="s">
        <v>4</v>
      </c>
      <c r="B5" s="239"/>
    </row>
    <row r="6" spans="1:2" ht="25" customHeight="1" x14ac:dyDescent="0.25">
      <c r="A6" s="238" t="s">
        <v>5</v>
      </c>
      <c r="B6" s="239"/>
    </row>
    <row r="7" spans="1:2" ht="60.75" customHeight="1" x14ac:dyDescent="0.25">
      <c r="A7" s="251" t="s">
        <v>6</v>
      </c>
      <c r="B7" s="251"/>
    </row>
    <row r="8" spans="1:2" s="146" customFormat="1" ht="66.75" customHeight="1" x14ac:dyDescent="0.25">
      <c r="A8" s="252" t="s">
        <v>7</v>
      </c>
      <c r="B8" s="253"/>
    </row>
    <row r="9" spans="1:2" s="146" customFormat="1" ht="18" customHeight="1" x14ac:dyDescent="0.25">
      <c r="A9" s="254" t="s">
        <v>8</v>
      </c>
      <c r="B9" s="254"/>
    </row>
    <row r="10" spans="1:2" ht="25" customHeight="1" x14ac:dyDescent="0.25">
      <c r="A10" s="243" t="s">
        <v>9</v>
      </c>
      <c r="B10" s="244"/>
    </row>
    <row r="11" spans="1:2" ht="25" customHeight="1" x14ac:dyDescent="0.25">
      <c r="A11" s="247" t="s">
        <v>10</v>
      </c>
      <c r="B11" s="248"/>
    </row>
    <row r="12" spans="1:2" ht="25" customHeight="1" x14ac:dyDescent="0.25">
      <c r="A12" s="140" t="s">
        <v>11</v>
      </c>
      <c r="B12" s="140" t="s">
        <v>12</v>
      </c>
    </row>
    <row r="13" spans="1:2" ht="25" customHeight="1" x14ac:dyDescent="0.25">
      <c r="A13" s="141" t="s">
        <v>13</v>
      </c>
      <c r="B13" s="141" t="s">
        <v>14</v>
      </c>
    </row>
    <row r="14" spans="1:2" ht="25" customHeight="1" x14ac:dyDescent="0.25">
      <c r="A14" s="141" t="s">
        <v>15</v>
      </c>
      <c r="B14" s="141" t="s">
        <v>16</v>
      </c>
    </row>
    <row r="15" spans="1:2" ht="25" customHeight="1" x14ac:dyDescent="0.25">
      <c r="A15" s="141" t="s">
        <v>17</v>
      </c>
      <c r="B15" s="141" t="s">
        <v>18</v>
      </c>
    </row>
    <row r="16" spans="1:2" ht="27" customHeight="1" x14ac:dyDescent="0.25">
      <c r="A16" s="141" t="s">
        <v>19</v>
      </c>
      <c r="B16" s="142" t="s">
        <v>20</v>
      </c>
    </row>
    <row r="17" spans="1:2" ht="27" customHeight="1" x14ac:dyDescent="0.25">
      <c r="A17" s="141" t="s">
        <v>21</v>
      </c>
      <c r="B17" s="141" t="s">
        <v>22</v>
      </c>
    </row>
    <row r="18" spans="1:2" ht="28.5" customHeight="1" x14ac:dyDescent="0.25">
      <c r="A18" s="142" t="s">
        <v>23</v>
      </c>
      <c r="B18" s="142" t="s">
        <v>24</v>
      </c>
    </row>
    <row r="19" spans="1:2" ht="28.5" customHeight="1" x14ac:dyDescent="0.25">
      <c r="A19" s="249"/>
      <c r="B19" s="250"/>
    </row>
    <row r="20" spans="1:2" ht="25" customHeight="1" x14ac:dyDescent="0.25">
      <c r="A20" s="247" t="s">
        <v>25</v>
      </c>
      <c r="B20" s="248"/>
    </row>
    <row r="21" spans="1:2" ht="25" customHeight="1" x14ac:dyDescent="0.25">
      <c r="A21" s="140" t="s">
        <v>11</v>
      </c>
      <c r="B21" s="140" t="s">
        <v>12</v>
      </c>
    </row>
    <row r="22" spans="1:2" ht="25" customHeight="1" x14ac:dyDescent="0.25">
      <c r="A22" s="142" t="s">
        <v>26</v>
      </c>
      <c r="B22" s="142" t="s">
        <v>27</v>
      </c>
    </row>
    <row r="23" spans="1:2" ht="25" customHeight="1" x14ac:dyDescent="0.25">
      <c r="A23" s="144" t="s">
        <v>28</v>
      </c>
      <c r="B23" s="142" t="s">
        <v>29</v>
      </c>
    </row>
    <row r="24" spans="1:2" ht="25" customHeight="1" x14ac:dyDescent="0.25">
      <c r="A24" s="144" t="s">
        <v>30</v>
      </c>
      <c r="B24" s="142" t="s">
        <v>31</v>
      </c>
    </row>
    <row r="25" spans="1:2" ht="25" customHeight="1" x14ac:dyDescent="0.25">
      <c r="A25" s="142" t="s">
        <v>32</v>
      </c>
      <c r="B25" s="141" t="s">
        <v>33</v>
      </c>
    </row>
    <row r="26" spans="1:2" ht="25" customHeight="1" x14ac:dyDescent="0.25">
      <c r="A26" s="142" t="s">
        <v>34</v>
      </c>
      <c r="B26" s="142" t="s">
        <v>35</v>
      </c>
    </row>
    <row r="27" spans="1:2" ht="25" customHeight="1" x14ac:dyDescent="0.25">
      <c r="A27" s="142" t="s">
        <v>36</v>
      </c>
      <c r="B27" s="142" t="s">
        <v>37</v>
      </c>
    </row>
    <row r="28" spans="1:2" ht="25" customHeight="1" x14ac:dyDescent="0.25">
      <c r="A28" s="142" t="s">
        <v>38</v>
      </c>
      <c r="B28" s="142" t="s">
        <v>39</v>
      </c>
    </row>
    <row r="29" spans="1:2" ht="25" customHeight="1" x14ac:dyDescent="0.25">
      <c r="A29" s="142" t="s">
        <v>40</v>
      </c>
      <c r="B29" s="142" t="s">
        <v>41</v>
      </c>
    </row>
    <row r="30" spans="1:2" ht="25" customHeight="1" x14ac:dyDescent="0.25">
      <c r="A30" s="142" t="s">
        <v>42</v>
      </c>
      <c r="B30" s="142" t="s">
        <v>43</v>
      </c>
    </row>
    <row r="31" spans="1:2" ht="25" customHeight="1" x14ac:dyDescent="0.25">
      <c r="A31" s="142" t="s">
        <v>44</v>
      </c>
      <c r="B31" s="142" t="s">
        <v>45</v>
      </c>
    </row>
    <row r="32" spans="1:2" ht="25" customHeight="1" x14ac:dyDescent="0.25">
      <c r="A32" s="142" t="s">
        <v>46</v>
      </c>
      <c r="B32" s="142" t="s">
        <v>47</v>
      </c>
    </row>
    <row r="33" spans="1:2" ht="25" customHeight="1" x14ac:dyDescent="0.25">
      <c r="A33" s="142" t="s">
        <v>48</v>
      </c>
      <c r="B33" s="141" t="s">
        <v>49</v>
      </c>
    </row>
    <row r="34" spans="1:2" ht="25" customHeight="1" x14ac:dyDescent="0.25">
      <c r="A34" s="142" t="s">
        <v>50</v>
      </c>
      <c r="B34" s="142" t="s">
        <v>51</v>
      </c>
    </row>
    <row r="35" spans="1:2" ht="25" customHeight="1" x14ac:dyDescent="0.25">
      <c r="A35" s="142" t="s">
        <v>52</v>
      </c>
      <c r="B35" s="142" t="s">
        <v>53</v>
      </c>
    </row>
    <row r="36" spans="1:2" ht="25" customHeight="1" x14ac:dyDescent="0.25">
      <c r="A36" s="142" t="s">
        <v>54</v>
      </c>
      <c r="B36" s="142" t="s">
        <v>55</v>
      </c>
    </row>
    <row r="37" spans="1:2" ht="25" customHeight="1" x14ac:dyDescent="0.25">
      <c r="A37" s="249"/>
      <c r="B37" s="250"/>
    </row>
    <row r="38" spans="1:2" ht="25" customHeight="1" x14ac:dyDescent="0.25">
      <c r="A38" s="247" t="s">
        <v>56</v>
      </c>
      <c r="B38" s="248"/>
    </row>
    <row r="39" spans="1:2" ht="25" customHeight="1" x14ac:dyDescent="0.25">
      <c r="A39" s="140" t="s">
        <v>11</v>
      </c>
      <c r="B39" s="140" t="s">
        <v>12</v>
      </c>
    </row>
    <row r="40" spans="1:2" ht="25" customHeight="1" x14ac:dyDescent="0.25">
      <c r="A40" s="142" t="s">
        <v>57</v>
      </c>
      <c r="B40" s="142" t="s">
        <v>58</v>
      </c>
    </row>
    <row r="41" spans="1:2" ht="25" customHeight="1" x14ac:dyDescent="0.25">
      <c r="A41" s="142" t="s">
        <v>59</v>
      </c>
      <c r="B41" s="142" t="s">
        <v>60</v>
      </c>
    </row>
    <row r="42" spans="1:2" ht="21" customHeight="1" x14ac:dyDescent="0.25">
      <c r="A42" s="145"/>
      <c r="B42" s="143"/>
    </row>
    <row r="43" spans="1:2" ht="25" customHeight="1" x14ac:dyDescent="0.25"/>
    <row r="44" spans="1:2" ht="25" customHeight="1" x14ac:dyDescent="0.25"/>
    <row r="45" spans="1:2" ht="32.25" customHeight="1" x14ac:dyDescent="0.25"/>
    <row r="46" spans="1:2" ht="25" customHeight="1" x14ac:dyDescent="0.25"/>
    <row r="47" spans="1:2" ht="30.75" customHeight="1" x14ac:dyDescent="0.25"/>
    <row r="48" spans="1:2" ht="25" customHeight="1" x14ac:dyDescent="0.25"/>
    <row r="49" ht="25" customHeight="1" x14ac:dyDescent="0.25"/>
  </sheetData>
  <sheetProtection algorithmName="SHA-512" hashValue="vwTsZX5gsgt4NFU0tbZYQpJmYyPYJyvmYSgRR/huoqeSqw7TvvPoa93KFXytJYvPRbT7jKAb9yZOBnl77FQzXA==" saltValue="LfrVGWeiF2bVadE6zv4aAg==" spinCount="100000" sheet="1" objects="1" scenarios="1"/>
  <mergeCells count="15">
    <mergeCell ref="A20:B20"/>
    <mergeCell ref="A37:B37"/>
    <mergeCell ref="A38:B38"/>
    <mergeCell ref="A7:B7"/>
    <mergeCell ref="A8:B8"/>
    <mergeCell ref="A9:B9"/>
    <mergeCell ref="A10:B10"/>
    <mergeCell ref="A11:B11"/>
    <mergeCell ref="A19:B19"/>
    <mergeCell ref="A6:B6"/>
    <mergeCell ref="A1:B1"/>
    <mergeCell ref="A2:B2"/>
    <mergeCell ref="A3:B3"/>
    <mergeCell ref="A4:B4"/>
    <mergeCell ref="A5:B5"/>
  </mergeCells>
  <pageMargins left="0.7" right="0.7" top="0.75" bottom="0.75" header="0.3" footer="0.3"/>
  <pageSetup paperSize="9" scale="7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49"/>
  <sheetViews>
    <sheetView topLeftCell="A8" zoomScaleNormal="100" workbookViewId="0">
      <selection activeCell="C13" sqref="C13"/>
    </sheetView>
  </sheetViews>
  <sheetFormatPr defaultColWidth="11.453125" defaultRowHeight="12.5" x14ac:dyDescent="0.25"/>
  <cols>
    <col min="1" max="1" width="57.453125" style="139" customWidth="1"/>
    <col min="2" max="2" width="81" style="139" customWidth="1"/>
    <col min="3" max="16384" width="11.453125" style="139"/>
  </cols>
  <sheetData>
    <row r="1" spans="1:2" ht="45" customHeight="1" x14ac:dyDescent="0.25">
      <c r="A1" s="240" t="s">
        <v>0</v>
      </c>
      <c r="B1" s="240"/>
    </row>
    <row r="2" spans="1:2" ht="45" customHeight="1" x14ac:dyDescent="0.25">
      <c r="A2" s="241" t="s">
        <v>1</v>
      </c>
      <c r="B2" s="242"/>
    </row>
    <row r="3" spans="1:2" ht="25" customHeight="1" x14ac:dyDescent="0.25">
      <c r="A3" s="243" t="s">
        <v>2</v>
      </c>
      <c r="B3" s="244"/>
    </row>
    <row r="4" spans="1:2" ht="25" customHeight="1" x14ac:dyDescent="0.25">
      <c r="A4" s="245" t="s">
        <v>3</v>
      </c>
      <c r="B4" s="246"/>
    </row>
    <row r="5" spans="1:2" ht="25" customHeight="1" x14ac:dyDescent="0.25">
      <c r="A5" s="238" t="s">
        <v>4</v>
      </c>
      <c r="B5" s="239"/>
    </row>
    <row r="6" spans="1:2" ht="25" customHeight="1" x14ac:dyDescent="0.25">
      <c r="A6" s="238" t="s">
        <v>5</v>
      </c>
      <c r="B6" s="239"/>
    </row>
    <row r="7" spans="1:2" ht="60.75" customHeight="1" x14ac:dyDescent="0.25">
      <c r="A7" s="251" t="s">
        <v>61</v>
      </c>
      <c r="B7" s="251"/>
    </row>
    <row r="8" spans="1:2" s="146" customFormat="1" ht="66.75" customHeight="1" x14ac:dyDescent="0.25">
      <c r="A8" s="252" t="s">
        <v>7</v>
      </c>
      <c r="B8" s="253"/>
    </row>
    <row r="9" spans="1:2" s="146" customFormat="1" ht="18" customHeight="1" x14ac:dyDescent="0.25">
      <c r="A9" s="254" t="s">
        <v>8</v>
      </c>
      <c r="B9" s="254"/>
    </row>
    <row r="10" spans="1:2" ht="25" customHeight="1" x14ac:dyDescent="0.25">
      <c r="A10" s="243" t="s">
        <v>9</v>
      </c>
      <c r="B10" s="244"/>
    </row>
    <row r="11" spans="1:2" ht="25" customHeight="1" x14ac:dyDescent="0.25">
      <c r="A11" s="247" t="s">
        <v>10</v>
      </c>
      <c r="B11" s="248"/>
    </row>
    <row r="12" spans="1:2" ht="25" customHeight="1" x14ac:dyDescent="0.25">
      <c r="A12" s="140" t="s">
        <v>11</v>
      </c>
      <c r="B12" s="140" t="s">
        <v>12</v>
      </c>
    </row>
    <row r="13" spans="1:2" ht="25" customHeight="1" x14ac:dyDescent="0.25">
      <c r="A13" s="141" t="s">
        <v>13</v>
      </c>
      <c r="B13" s="141" t="s">
        <v>14</v>
      </c>
    </row>
    <row r="14" spans="1:2" ht="25" customHeight="1" x14ac:dyDescent="0.25">
      <c r="A14" s="141" t="s">
        <v>15</v>
      </c>
      <c r="B14" s="141" t="s">
        <v>16</v>
      </c>
    </row>
    <row r="15" spans="1:2" ht="25" customHeight="1" x14ac:dyDescent="0.25">
      <c r="A15" s="141" t="s">
        <v>17</v>
      </c>
      <c r="B15" s="141" t="s">
        <v>18</v>
      </c>
    </row>
    <row r="16" spans="1:2" ht="27" customHeight="1" x14ac:dyDescent="0.25">
      <c r="A16" s="141" t="s">
        <v>19</v>
      </c>
      <c r="B16" s="142" t="s">
        <v>20</v>
      </c>
    </row>
    <row r="17" spans="1:2" ht="27" customHeight="1" x14ac:dyDescent="0.25">
      <c r="A17" s="141" t="s">
        <v>21</v>
      </c>
      <c r="B17" s="141" t="s">
        <v>22</v>
      </c>
    </row>
    <row r="18" spans="1:2" ht="28.5" customHeight="1" x14ac:dyDescent="0.25">
      <c r="A18" s="142" t="s">
        <v>23</v>
      </c>
      <c r="B18" s="142" t="s">
        <v>24</v>
      </c>
    </row>
    <row r="19" spans="1:2" ht="28.5" customHeight="1" x14ac:dyDescent="0.25">
      <c r="A19" s="249"/>
      <c r="B19" s="250"/>
    </row>
    <row r="20" spans="1:2" ht="25" customHeight="1" x14ac:dyDescent="0.25">
      <c r="A20" s="247" t="s">
        <v>25</v>
      </c>
      <c r="B20" s="248"/>
    </row>
    <row r="21" spans="1:2" ht="25" customHeight="1" x14ac:dyDescent="0.25">
      <c r="A21" s="140" t="s">
        <v>11</v>
      </c>
      <c r="B21" s="140" t="s">
        <v>12</v>
      </c>
    </row>
    <row r="22" spans="1:2" ht="25" customHeight="1" x14ac:dyDescent="0.25">
      <c r="A22" s="142" t="s">
        <v>26</v>
      </c>
      <c r="B22" s="142" t="s">
        <v>27</v>
      </c>
    </row>
    <row r="23" spans="1:2" ht="25" customHeight="1" x14ac:dyDescent="0.25">
      <c r="A23" s="144" t="s">
        <v>28</v>
      </c>
      <c r="B23" s="142" t="s">
        <v>29</v>
      </c>
    </row>
    <row r="24" spans="1:2" ht="25" customHeight="1" x14ac:dyDescent="0.25">
      <c r="A24" s="144" t="s">
        <v>30</v>
      </c>
      <c r="B24" s="142" t="s">
        <v>31</v>
      </c>
    </row>
    <row r="25" spans="1:2" ht="25" customHeight="1" x14ac:dyDescent="0.25">
      <c r="A25" s="142" t="s">
        <v>32</v>
      </c>
      <c r="B25" s="141" t="s">
        <v>33</v>
      </c>
    </row>
    <row r="26" spans="1:2" ht="25" customHeight="1" x14ac:dyDescent="0.25">
      <c r="A26" s="142" t="s">
        <v>34</v>
      </c>
      <c r="B26" s="142" t="s">
        <v>35</v>
      </c>
    </row>
    <row r="27" spans="1:2" ht="25" customHeight="1" x14ac:dyDescent="0.25">
      <c r="A27" s="142" t="s">
        <v>36</v>
      </c>
      <c r="B27" s="142" t="s">
        <v>37</v>
      </c>
    </row>
    <row r="28" spans="1:2" ht="25" customHeight="1" x14ac:dyDescent="0.25">
      <c r="A28" s="142" t="s">
        <v>38</v>
      </c>
      <c r="B28" s="142" t="s">
        <v>39</v>
      </c>
    </row>
    <row r="29" spans="1:2" ht="25" customHeight="1" x14ac:dyDescent="0.25">
      <c r="A29" s="142" t="s">
        <v>40</v>
      </c>
      <c r="B29" s="142" t="s">
        <v>41</v>
      </c>
    </row>
    <row r="30" spans="1:2" ht="25" customHeight="1" x14ac:dyDescent="0.25">
      <c r="A30" s="142" t="s">
        <v>42</v>
      </c>
      <c r="B30" s="142" t="s">
        <v>43</v>
      </c>
    </row>
    <row r="31" spans="1:2" ht="25" customHeight="1" x14ac:dyDescent="0.25">
      <c r="A31" s="142" t="s">
        <v>44</v>
      </c>
      <c r="B31" s="142" t="s">
        <v>45</v>
      </c>
    </row>
    <row r="32" spans="1:2" ht="25" customHeight="1" x14ac:dyDescent="0.25">
      <c r="A32" s="142" t="s">
        <v>46</v>
      </c>
      <c r="B32" s="142" t="s">
        <v>47</v>
      </c>
    </row>
    <row r="33" spans="1:2" ht="25" customHeight="1" x14ac:dyDescent="0.25">
      <c r="A33" s="142" t="s">
        <v>48</v>
      </c>
      <c r="B33" s="141" t="s">
        <v>49</v>
      </c>
    </row>
    <row r="34" spans="1:2" ht="25" customHeight="1" x14ac:dyDescent="0.25">
      <c r="A34" s="142" t="s">
        <v>50</v>
      </c>
      <c r="B34" s="142" t="s">
        <v>51</v>
      </c>
    </row>
    <row r="35" spans="1:2" ht="25" customHeight="1" x14ac:dyDescent="0.25">
      <c r="A35" s="142" t="s">
        <v>52</v>
      </c>
      <c r="B35" s="142" t="s">
        <v>53</v>
      </c>
    </row>
    <row r="36" spans="1:2" ht="25" customHeight="1" x14ac:dyDescent="0.25">
      <c r="A36" s="142" t="s">
        <v>54</v>
      </c>
      <c r="B36" s="142" t="s">
        <v>55</v>
      </c>
    </row>
    <row r="37" spans="1:2" ht="25" customHeight="1" x14ac:dyDescent="0.25">
      <c r="A37" s="249"/>
      <c r="B37" s="250"/>
    </row>
    <row r="38" spans="1:2" ht="25" customHeight="1" x14ac:dyDescent="0.25">
      <c r="A38" s="247" t="s">
        <v>56</v>
      </c>
      <c r="B38" s="248"/>
    </row>
    <row r="39" spans="1:2" ht="25" customHeight="1" x14ac:dyDescent="0.25">
      <c r="A39" s="140" t="s">
        <v>11</v>
      </c>
      <c r="B39" s="140" t="s">
        <v>12</v>
      </c>
    </row>
    <row r="40" spans="1:2" ht="25" customHeight="1" x14ac:dyDescent="0.25">
      <c r="A40" s="142" t="s">
        <v>57</v>
      </c>
      <c r="B40" s="142" t="s">
        <v>58</v>
      </c>
    </row>
    <row r="41" spans="1:2" ht="25" customHeight="1" x14ac:dyDescent="0.25">
      <c r="A41" s="142" t="s">
        <v>59</v>
      </c>
      <c r="B41" s="142" t="s">
        <v>60</v>
      </c>
    </row>
    <row r="42" spans="1:2" ht="21" customHeight="1" x14ac:dyDescent="0.25">
      <c r="A42" s="145"/>
      <c r="B42" s="143"/>
    </row>
    <row r="43" spans="1:2" ht="25" customHeight="1" x14ac:dyDescent="0.25"/>
    <row r="44" spans="1:2" ht="25" customHeight="1" x14ac:dyDescent="0.25"/>
    <row r="45" spans="1:2" ht="32.25" customHeight="1" x14ac:dyDescent="0.25"/>
    <row r="46" spans="1:2" ht="25" customHeight="1" x14ac:dyDescent="0.25"/>
    <row r="47" spans="1:2" ht="30.75" customHeight="1" x14ac:dyDescent="0.25"/>
    <row r="48" spans="1:2" ht="25" customHeight="1" x14ac:dyDescent="0.25"/>
    <row r="49" ht="25" customHeight="1" x14ac:dyDescent="0.25"/>
  </sheetData>
  <sheetProtection selectLockedCells="1"/>
  <mergeCells count="15">
    <mergeCell ref="A1:B1"/>
    <mergeCell ref="A38:B38"/>
    <mergeCell ref="A8:B8"/>
    <mergeCell ref="A3:B3"/>
    <mergeCell ref="A4:B4"/>
    <mergeCell ref="A5:B5"/>
    <mergeCell ref="A6:B6"/>
    <mergeCell ref="A7:B7"/>
    <mergeCell ref="A37:B37"/>
    <mergeCell ref="A2:B2"/>
    <mergeCell ref="A19:B19"/>
    <mergeCell ref="A11:B11"/>
    <mergeCell ref="A10:B10"/>
    <mergeCell ref="A20:B20"/>
    <mergeCell ref="A9:B9"/>
  </mergeCells>
  <pageMargins left="0.7" right="0.7" top="0.75" bottom="0.75" header="0.3" footer="0.3"/>
  <pageSetup paperSize="9" scale="71"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F638"/>
  <sheetViews>
    <sheetView zoomScaleNormal="100" workbookViewId="0"/>
  </sheetViews>
  <sheetFormatPr defaultColWidth="11.453125" defaultRowHeight="12.5" x14ac:dyDescent="0.25"/>
  <cols>
    <col min="1" max="1" width="50.7265625" style="7" customWidth="1"/>
    <col min="2" max="2" width="35.7265625" style="7" customWidth="1"/>
    <col min="3" max="3" width="38.1796875" style="7" customWidth="1"/>
    <col min="4" max="4" width="0.1796875" style="7" customWidth="1"/>
    <col min="5" max="5" width="14.81640625" style="152" customWidth="1"/>
    <col min="6" max="6" width="24.453125" style="151" customWidth="1"/>
    <col min="7" max="16384" width="11.453125" style="7"/>
  </cols>
  <sheetData>
    <row r="1" spans="1:6" ht="42.75" customHeight="1" x14ac:dyDescent="0.35">
      <c r="A1" s="119"/>
      <c r="B1" s="118" t="s">
        <v>62</v>
      </c>
      <c r="C1" s="113"/>
      <c r="D1" s="120"/>
      <c r="E1" s="93"/>
      <c r="F1" s="93"/>
    </row>
    <row r="2" spans="1:6" ht="13.5" customHeight="1" x14ac:dyDescent="0.35">
      <c r="A2" s="121"/>
      <c r="B2" s="87"/>
      <c r="C2" s="93"/>
      <c r="D2" s="93"/>
      <c r="E2" s="93"/>
      <c r="F2" s="93"/>
    </row>
    <row r="3" spans="1:6" ht="14" x14ac:dyDescent="0.3">
      <c r="A3" s="297" t="s">
        <v>63</v>
      </c>
      <c r="B3" s="298"/>
      <c r="C3" s="298"/>
      <c r="D3" s="298"/>
      <c r="E3" s="298"/>
      <c r="F3" s="299"/>
    </row>
    <row r="4" spans="1:6" ht="14" x14ac:dyDescent="0.3">
      <c r="A4" s="296" t="s">
        <v>64</v>
      </c>
      <c r="B4" s="296"/>
      <c r="C4" s="296"/>
      <c r="D4" s="296"/>
      <c r="E4" s="296"/>
      <c r="F4" s="296"/>
    </row>
    <row r="5" spans="1:6" ht="14" x14ac:dyDescent="0.3">
      <c r="A5" s="296" t="s">
        <v>65</v>
      </c>
      <c r="B5" s="296"/>
      <c r="C5" s="296"/>
      <c r="D5" s="296"/>
      <c r="E5" s="296"/>
      <c r="F5" s="296"/>
    </row>
    <row r="6" spans="1:6" x14ac:dyDescent="0.25">
      <c r="A6" s="111" t="s">
        <v>66</v>
      </c>
      <c r="B6" s="300"/>
      <c r="C6" s="301"/>
      <c r="D6" s="301"/>
      <c r="E6" s="302"/>
      <c r="F6" s="111"/>
    </row>
    <row r="7" spans="1:6" s="138" customFormat="1" ht="13.5" customHeight="1" x14ac:dyDescent="0.3">
      <c r="A7" s="111" t="s">
        <v>11</v>
      </c>
      <c r="B7" s="111" t="s">
        <v>67</v>
      </c>
      <c r="C7" s="111" t="s">
        <v>68</v>
      </c>
      <c r="D7" s="111"/>
      <c r="E7" s="111" t="s">
        <v>69</v>
      </c>
      <c r="F7" s="111" t="s">
        <v>70</v>
      </c>
    </row>
    <row r="8" spans="1:6" s="138" customFormat="1" ht="13.5" customHeight="1" x14ac:dyDescent="0.3">
      <c r="A8" s="111" t="str">
        <f>+B15</f>
        <v xml:space="preserve">Please select from the drop down menu </v>
      </c>
      <c r="B8" s="222">
        <f>B21</f>
        <v>0</v>
      </c>
      <c r="C8" s="222">
        <f>B19</f>
        <v>0</v>
      </c>
      <c r="D8" s="111"/>
      <c r="E8" s="222">
        <f>B16</f>
        <v>0</v>
      </c>
      <c r="F8" s="225">
        <f>B18</f>
        <v>0</v>
      </c>
    </row>
    <row r="9" spans="1:6" ht="13.5" customHeight="1" x14ac:dyDescent="0.25">
      <c r="A9" s="111" t="s">
        <v>71</v>
      </c>
      <c r="B9" s="221">
        <f>'2. Business - Project details'!B13:D13</f>
        <v>0</v>
      </c>
      <c r="C9" s="111" t="s">
        <v>72</v>
      </c>
      <c r="D9" s="172">
        <f>'2. Business - Project details'!B12:D12</f>
        <v>0</v>
      </c>
      <c r="E9" s="221"/>
      <c r="F9" s="226"/>
    </row>
    <row r="10" spans="1:6" ht="13.5" customHeight="1" x14ac:dyDescent="0.25">
      <c r="A10" s="93"/>
      <c r="B10" s="93"/>
      <c r="C10" s="93"/>
      <c r="D10" s="93"/>
      <c r="E10" s="93"/>
      <c r="F10" s="93"/>
    </row>
    <row r="11" spans="1:6" ht="13.5" customHeight="1" x14ac:dyDescent="0.3">
      <c r="A11" s="303" t="s">
        <v>73</v>
      </c>
      <c r="B11" s="303"/>
      <c r="C11" s="303"/>
      <c r="D11" s="303"/>
      <c r="E11" s="303"/>
      <c r="F11" s="303"/>
    </row>
    <row r="12" spans="1:6" ht="27" customHeight="1" x14ac:dyDescent="0.3">
      <c r="A12" s="303" t="s">
        <v>74</v>
      </c>
      <c r="B12" s="303"/>
      <c r="C12" s="303"/>
      <c r="D12" s="303"/>
      <c r="E12" s="303"/>
      <c r="F12" s="303"/>
    </row>
    <row r="13" spans="1:6" ht="13.5" customHeight="1" x14ac:dyDescent="0.25">
      <c r="A13" s="93"/>
      <c r="B13" s="93"/>
      <c r="C13" s="93"/>
      <c r="D13" s="93"/>
      <c r="E13" s="93"/>
      <c r="F13" s="93"/>
    </row>
    <row r="14" spans="1:6" ht="27" customHeight="1" x14ac:dyDescent="0.35">
      <c r="A14" s="121" t="s">
        <v>75</v>
      </c>
      <c r="B14" s="87"/>
      <c r="C14" s="93"/>
      <c r="D14" s="93"/>
      <c r="E14" s="156"/>
      <c r="F14" s="156"/>
    </row>
    <row r="15" spans="1:6" ht="27" customHeight="1" x14ac:dyDescent="0.25">
      <c r="A15" s="123" t="s">
        <v>11</v>
      </c>
      <c r="B15" s="265" t="s">
        <v>76</v>
      </c>
      <c r="C15" s="265"/>
      <c r="D15" s="265"/>
      <c r="E15" s="265"/>
      <c r="F15" s="265"/>
    </row>
    <row r="16" spans="1:6" ht="27" customHeight="1" x14ac:dyDescent="0.25">
      <c r="A16" s="123" t="s">
        <v>77</v>
      </c>
      <c r="B16" s="265"/>
      <c r="C16" s="265"/>
      <c r="D16" s="265"/>
      <c r="E16" s="265"/>
      <c r="F16" s="265"/>
    </row>
    <row r="17" spans="1:6" ht="27" customHeight="1" x14ac:dyDescent="0.25">
      <c r="A17" s="123" t="s">
        <v>13</v>
      </c>
      <c r="B17" s="265"/>
      <c r="C17" s="265"/>
      <c r="D17" s="265"/>
      <c r="E17" s="265"/>
      <c r="F17" s="265"/>
    </row>
    <row r="18" spans="1:6" ht="27" customHeight="1" x14ac:dyDescent="0.25">
      <c r="A18" s="123" t="s">
        <v>78</v>
      </c>
      <c r="B18" s="265"/>
      <c r="C18" s="265"/>
      <c r="D18" s="265"/>
      <c r="E18" s="265"/>
      <c r="F18" s="265"/>
    </row>
    <row r="19" spans="1:6" ht="27" customHeight="1" x14ac:dyDescent="0.25">
      <c r="A19" s="123" t="s">
        <v>79</v>
      </c>
      <c r="B19" s="265"/>
      <c r="C19" s="265"/>
      <c r="D19" s="265"/>
      <c r="E19" s="265"/>
      <c r="F19" s="265"/>
    </row>
    <row r="20" spans="1:6" ht="27" customHeight="1" x14ac:dyDescent="0.25">
      <c r="A20" s="123" t="s">
        <v>80</v>
      </c>
      <c r="B20" s="265"/>
      <c r="C20" s="265"/>
      <c r="D20" s="265"/>
      <c r="E20" s="265"/>
      <c r="F20" s="265"/>
    </row>
    <row r="21" spans="1:6" ht="27" customHeight="1" x14ac:dyDescent="0.25">
      <c r="A21" s="123" t="s">
        <v>81</v>
      </c>
      <c r="B21" s="265"/>
      <c r="C21" s="265"/>
      <c r="D21" s="265"/>
      <c r="E21" s="265"/>
      <c r="F21" s="265"/>
    </row>
    <row r="22" spans="1:6" ht="27" customHeight="1" x14ac:dyDescent="0.25">
      <c r="A22" s="123" t="s">
        <v>82</v>
      </c>
      <c r="B22" s="273"/>
      <c r="C22" s="273"/>
      <c r="D22" s="273"/>
      <c r="E22" s="273"/>
      <c r="F22" s="273"/>
    </row>
    <row r="23" spans="1:6" ht="27" customHeight="1" x14ac:dyDescent="0.25">
      <c r="A23" s="123" t="s">
        <v>83</v>
      </c>
      <c r="B23" s="265"/>
      <c r="C23" s="265"/>
      <c r="D23" s="265"/>
      <c r="E23" s="265"/>
      <c r="F23" s="265"/>
    </row>
    <row r="24" spans="1:6" ht="27" customHeight="1" x14ac:dyDescent="0.25">
      <c r="A24" s="123" t="s">
        <v>84</v>
      </c>
      <c r="B24" s="265"/>
      <c r="C24" s="265"/>
      <c r="D24" s="265"/>
      <c r="E24" s="265"/>
      <c r="F24" s="265"/>
    </row>
    <row r="25" spans="1:6" ht="27" customHeight="1" x14ac:dyDescent="0.25">
      <c r="A25" s="123" t="s">
        <v>85</v>
      </c>
      <c r="B25" s="265"/>
      <c r="C25" s="265"/>
      <c r="D25" s="265"/>
      <c r="E25" s="265"/>
      <c r="F25" s="265"/>
    </row>
    <row r="26" spans="1:6" ht="27" customHeight="1" x14ac:dyDescent="0.25">
      <c r="A26" s="123" t="s">
        <v>86</v>
      </c>
      <c r="B26" s="265"/>
      <c r="C26" s="265"/>
      <c r="D26" s="265"/>
      <c r="E26" s="265"/>
      <c r="F26" s="265"/>
    </row>
    <row r="27" spans="1:6" ht="27" customHeight="1" x14ac:dyDescent="0.25">
      <c r="A27" s="123" t="s">
        <v>87</v>
      </c>
      <c r="B27" s="265"/>
      <c r="C27" s="265"/>
      <c r="D27" s="265"/>
      <c r="E27" s="265"/>
      <c r="F27" s="265"/>
    </row>
    <row r="28" spans="1:6" ht="27" customHeight="1" x14ac:dyDescent="0.25">
      <c r="A28" s="123" t="s">
        <v>88</v>
      </c>
      <c r="B28" s="265"/>
      <c r="C28" s="265"/>
      <c r="D28" s="265"/>
      <c r="E28" s="265"/>
      <c r="F28" s="265"/>
    </row>
    <row r="29" spans="1:6" ht="27" customHeight="1" x14ac:dyDescent="0.25">
      <c r="A29" s="123" t="s">
        <v>89</v>
      </c>
      <c r="B29" s="265"/>
      <c r="C29" s="265"/>
      <c r="D29" s="265"/>
      <c r="E29" s="265"/>
      <c r="F29" s="265"/>
    </row>
    <row r="30" spans="1:6" ht="27" customHeight="1" x14ac:dyDescent="0.25">
      <c r="A30" s="123" t="s">
        <v>90</v>
      </c>
      <c r="B30" s="265" t="s">
        <v>76</v>
      </c>
      <c r="C30" s="265"/>
      <c r="D30" s="265"/>
      <c r="E30" s="265"/>
      <c r="F30" s="265"/>
    </row>
    <row r="31" spans="1:6" ht="27" customHeight="1" x14ac:dyDescent="0.25">
      <c r="A31" s="123" t="s">
        <v>91</v>
      </c>
      <c r="B31" s="265"/>
      <c r="C31" s="265"/>
      <c r="D31" s="265"/>
      <c r="E31" s="265"/>
      <c r="F31" s="265"/>
    </row>
    <row r="32" spans="1:6" ht="27" customHeight="1" x14ac:dyDescent="0.25">
      <c r="A32" s="123" t="s">
        <v>19</v>
      </c>
      <c r="B32" s="265"/>
      <c r="C32" s="265"/>
      <c r="D32" s="265"/>
      <c r="E32" s="265"/>
      <c r="F32" s="265"/>
    </row>
    <row r="33" spans="1:6" ht="27" customHeight="1" x14ac:dyDescent="0.25">
      <c r="A33" s="123" t="s">
        <v>92</v>
      </c>
      <c r="B33" s="273"/>
      <c r="C33" s="273"/>
      <c r="D33" s="273"/>
      <c r="E33" s="273"/>
      <c r="F33" s="273"/>
    </row>
    <row r="34" spans="1:6" ht="27" customHeight="1" x14ac:dyDescent="0.25">
      <c r="A34" s="123" t="s">
        <v>93</v>
      </c>
      <c r="B34" s="273"/>
      <c r="C34" s="273"/>
      <c r="D34" s="273"/>
      <c r="E34" s="273"/>
      <c r="F34" s="273"/>
    </row>
    <row r="35" spans="1:6" s="92" customFormat="1" ht="27" customHeight="1" x14ac:dyDescent="0.35">
      <c r="A35" s="269"/>
      <c r="B35" s="269"/>
      <c r="C35" s="269"/>
      <c r="D35" s="269"/>
      <c r="E35" s="269"/>
      <c r="F35" s="269"/>
    </row>
    <row r="36" spans="1:6" ht="37.5" customHeight="1" x14ac:dyDescent="0.25">
      <c r="A36" s="186" t="s">
        <v>94</v>
      </c>
      <c r="B36" s="186" t="s">
        <v>95</v>
      </c>
      <c r="C36" s="270" t="s">
        <v>96</v>
      </c>
      <c r="D36" s="271"/>
      <c r="E36" s="271"/>
      <c r="F36" s="271"/>
    </row>
    <row r="37" spans="1:6" ht="27" customHeight="1" x14ac:dyDescent="0.25">
      <c r="A37" s="137"/>
      <c r="B37" s="187"/>
      <c r="C37" s="272"/>
      <c r="D37" s="272"/>
      <c r="E37" s="272"/>
      <c r="F37" s="272"/>
    </row>
    <row r="38" spans="1:6" ht="27" customHeight="1" x14ac:dyDescent="0.25">
      <c r="A38" s="137"/>
      <c r="B38" s="187"/>
      <c r="C38" s="272"/>
      <c r="D38" s="272"/>
      <c r="E38" s="272"/>
      <c r="F38" s="272"/>
    </row>
    <row r="39" spans="1:6" ht="27" customHeight="1" x14ac:dyDescent="0.25">
      <c r="A39" s="137"/>
      <c r="B39" s="187"/>
      <c r="C39" s="272"/>
      <c r="D39" s="272"/>
      <c r="E39" s="272"/>
      <c r="F39" s="272"/>
    </row>
    <row r="40" spans="1:6" ht="27" customHeight="1" x14ac:dyDescent="0.25">
      <c r="A40" s="137"/>
      <c r="B40" s="187"/>
      <c r="C40" s="272"/>
      <c r="D40" s="272"/>
      <c r="E40" s="272"/>
      <c r="F40" s="272"/>
    </row>
    <row r="41" spans="1:6" ht="27" customHeight="1" x14ac:dyDescent="0.25">
      <c r="A41" s="274" t="s">
        <v>97</v>
      </c>
      <c r="B41" s="274"/>
      <c r="C41" s="274"/>
      <c r="D41" s="274"/>
      <c r="E41" s="274"/>
      <c r="F41" s="275"/>
    </row>
    <row r="42" spans="1:6" ht="27" customHeight="1" x14ac:dyDescent="0.25">
      <c r="A42" s="122" t="s">
        <v>98</v>
      </c>
      <c r="B42" s="276" t="s">
        <v>99</v>
      </c>
      <c r="C42" s="276"/>
      <c r="D42" s="276"/>
      <c r="E42" s="276"/>
      <c r="F42" s="276"/>
    </row>
    <row r="43" spans="1:6" ht="27" customHeight="1" x14ac:dyDescent="0.25">
      <c r="A43" s="162" t="s">
        <v>100</v>
      </c>
      <c r="B43" s="266"/>
      <c r="C43" s="267"/>
      <c r="D43" s="267"/>
      <c r="E43" s="267"/>
      <c r="F43" s="268"/>
    </row>
    <row r="44" spans="1:6" ht="27" customHeight="1" x14ac:dyDescent="0.25">
      <c r="A44" s="162" t="s">
        <v>101</v>
      </c>
      <c r="B44" s="266"/>
      <c r="C44" s="267"/>
      <c r="D44" s="267"/>
      <c r="E44" s="267"/>
      <c r="F44" s="268"/>
    </row>
    <row r="45" spans="1:6" ht="27" customHeight="1" x14ac:dyDescent="0.35">
      <c r="A45" s="286" t="s">
        <v>102</v>
      </c>
      <c r="B45" s="286"/>
      <c r="C45" s="188"/>
      <c r="D45" s="188"/>
      <c r="E45" s="188"/>
      <c r="F45" s="189"/>
    </row>
    <row r="46" spans="1:6" ht="27" customHeight="1" x14ac:dyDescent="0.25">
      <c r="A46" s="161" t="s">
        <v>103</v>
      </c>
      <c r="B46" s="266" t="s">
        <v>76</v>
      </c>
      <c r="C46" s="267"/>
      <c r="D46" s="267"/>
      <c r="E46" s="267"/>
      <c r="F46" s="268"/>
    </row>
    <row r="47" spans="1:6" ht="27" customHeight="1" x14ac:dyDescent="0.25">
      <c r="A47" s="103" t="s">
        <v>104</v>
      </c>
      <c r="B47" s="281"/>
      <c r="C47" s="281"/>
      <c r="D47" s="281"/>
      <c r="E47" s="281"/>
      <c r="F47" s="281"/>
    </row>
    <row r="48" spans="1:6" ht="27" customHeight="1" x14ac:dyDescent="0.25">
      <c r="A48" s="103" t="s">
        <v>105</v>
      </c>
      <c r="B48" s="273"/>
      <c r="C48" s="273"/>
      <c r="D48" s="273"/>
      <c r="E48" s="273"/>
      <c r="F48" s="273"/>
    </row>
    <row r="49" spans="1:6" ht="27" customHeight="1" x14ac:dyDescent="0.25">
      <c r="A49" s="103" t="s">
        <v>106</v>
      </c>
      <c r="B49" s="282" t="s">
        <v>76</v>
      </c>
      <c r="C49" s="282"/>
      <c r="D49" s="282"/>
      <c r="E49" s="282"/>
      <c r="F49" s="282"/>
    </row>
    <row r="50" spans="1:6" ht="24" customHeight="1" x14ac:dyDescent="0.25">
      <c r="A50" s="123" t="s">
        <v>107</v>
      </c>
      <c r="B50" s="163" t="s">
        <v>108</v>
      </c>
      <c r="C50" s="283" t="s">
        <v>109</v>
      </c>
      <c r="D50" s="284"/>
      <c r="E50" s="284"/>
      <c r="F50" s="285"/>
    </row>
    <row r="51" spans="1:6" ht="31.5" customHeight="1" x14ac:dyDescent="0.25">
      <c r="A51" s="124"/>
      <c r="B51" s="124"/>
      <c r="C51" s="282" t="s">
        <v>99</v>
      </c>
      <c r="D51" s="282"/>
      <c r="E51" s="282"/>
      <c r="F51" s="282"/>
    </row>
    <row r="52" spans="1:6" ht="31.5" customHeight="1" x14ac:dyDescent="0.25">
      <c r="A52" s="124"/>
      <c r="B52" s="124"/>
      <c r="C52" s="282" t="s">
        <v>99</v>
      </c>
      <c r="D52" s="282"/>
      <c r="E52" s="282"/>
      <c r="F52" s="282"/>
    </row>
    <row r="53" spans="1:6" ht="27" customHeight="1" x14ac:dyDescent="0.25">
      <c r="A53" s="124"/>
      <c r="B53" s="124"/>
      <c r="C53" s="282" t="s">
        <v>99</v>
      </c>
      <c r="D53" s="282"/>
      <c r="E53" s="282"/>
      <c r="F53" s="282"/>
    </row>
    <row r="54" spans="1:6" ht="27" customHeight="1" x14ac:dyDescent="0.25">
      <c r="A54" s="93"/>
      <c r="B54" s="93"/>
      <c r="C54" s="93"/>
      <c r="D54" s="93"/>
      <c r="E54" s="93"/>
      <c r="F54"/>
    </row>
    <row r="55" spans="1:6" ht="27" customHeight="1" x14ac:dyDescent="0.25">
      <c r="A55" s="185" t="s">
        <v>110</v>
      </c>
      <c r="B55" s="185" t="s">
        <v>111</v>
      </c>
      <c r="C55" s="185" t="s">
        <v>112</v>
      </c>
      <c r="D55" s="185" t="s">
        <v>113</v>
      </c>
      <c r="E55" s="277" t="s">
        <v>113</v>
      </c>
      <c r="F55" s="278"/>
    </row>
    <row r="56" spans="1:6" ht="26.25" customHeight="1" x14ac:dyDescent="0.25">
      <c r="A56" s="185" t="s">
        <v>114</v>
      </c>
      <c r="B56" s="157"/>
      <c r="C56" s="157"/>
      <c r="D56" s="158"/>
      <c r="E56" s="279"/>
      <c r="F56" s="280"/>
    </row>
    <row r="57" spans="1:6" ht="26.25" customHeight="1" x14ac:dyDescent="0.25">
      <c r="A57" s="185" t="s">
        <v>115</v>
      </c>
      <c r="B57" s="157"/>
      <c r="C57" s="157"/>
      <c r="D57" s="164"/>
      <c r="E57" s="279"/>
      <c r="F57" s="280"/>
    </row>
    <row r="58" spans="1:6" ht="23.25" customHeight="1" x14ac:dyDescent="0.25">
      <c r="A58" s="185" t="s">
        <v>19</v>
      </c>
      <c r="B58" s="153"/>
      <c r="C58" s="153"/>
      <c r="D58" s="86"/>
      <c r="E58" s="288"/>
      <c r="F58" s="289"/>
    </row>
    <row r="59" spans="1:6" ht="22.5" customHeight="1" x14ac:dyDescent="0.25">
      <c r="A59" s="185" t="s">
        <v>92</v>
      </c>
      <c r="B59" s="182"/>
      <c r="C59" s="182"/>
      <c r="D59" s="86"/>
      <c r="E59" s="290"/>
      <c r="F59" s="291"/>
    </row>
    <row r="60" spans="1:6" ht="23.25" customHeight="1" x14ac:dyDescent="0.25">
      <c r="A60" s="185" t="s">
        <v>93</v>
      </c>
      <c r="B60" s="182"/>
      <c r="C60" s="182"/>
      <c r="D60" s="86"/>
      <c r="E60" s="290"/>
      <c r="F60" s="291"/>
    </row>
    <row r="61" spans="1:6" ht="22.5" customHeight="1" x14ac:dyDescent="0.25">
      <c r="A61" s="293" t="s">
        <v>116</v>
      </c>
      <c r="B61" s="294"/>
      <c r="C61" s="294"/>
      <c r="D61" s="294"/>
      <c r="E61" s="294"/>
      <c r="F61" s="295"/>
    </row>
    <row r="62" spans="1:6" x14ac:dyDescent="0.25">
      <c r="A62" s="93"/>
      <c r="B62" s="93"/>
      <c r="C62" s="93"/>
      <c r="D62" s="93"/>
      <c r="E62" s="93"/>
      <c r="F62"/>
    </row>
    <row r="63" spans="1:6" ht="22.5" customHeight="1" x14ac:dyDescent="0.25">
      <c r="A63" s="287" t="s">
        <v>117</v>
      </c>
      <c r="B63" s="292"/>
      <c r="C63" s="292"/>
      <c r="D63" s="292"/>
      <c r="E63" s="292"/>
      <c r="F63" s="292"/>
    </row>
    <row r="64" spans="1:6" x14ac:dyDescent="0.25">
      <c r="A64" s="287"/>
      <c r="B64" s="292"/>
      <c r="C64" s="292"/>
      <c r="D64" s="292"/>
      <c r="E64" s="292"/>
      <c r="F64" s="292"/>
    </row>
    <row r="65" spans="1:6" x14ac:dyDescent="0.25">
      <c r="A65" s="287"/>
      <c r="B65" s="292"/>
      <c r="C65" s="292"/>
      <c r="D65" s="292"/>
      <c r="E65" s="292"/>
      <c r="F65" s="292"/>
    </row>
    <row r="66" spans="1:6" x14ac:dyDescent="0.25">
      <c r="A66" s="287"/>
      <c r="B66" s="292"/>
      <c r="C66" s="292"/>
      <c r="D66" s="292"/>
      <c r="E66" s="292"/>
      <c r="F66" s="292"/>
    </row>
    <row r="67" spans="1:6" x14ac:dyDescent="0.25">
      <c r="A67"/>
      <c r="B67"/>
      <c r="C67"/>
      <c r="D67"/>
      <c r="E67"/>
      <c r="F67"/>
    </row>
    <row r="68" spans="1:6" x14ac:dyDescent="0.25">
      <c r="A68"/>
      <c r="B68"/>
      <c r="C68"/>
      <c r="D68"/>
      <c r="E68"/>
      <c r="F68"/>
    </row>
    <row r="69" spans="1:6" ht="21" customHeight="1" x14ac:dyDescent="0.3">
      <c r="A69" s="135" t="s">
        <v>118</v>
      </c>
      <c r="B69"/>
      <c r="C69"/>
      <c r="D69"/>
      <c r="E69"/>
      <c r="F69"/>
    </row>
    <row r="70" spans="1:6" ht="14.5" x14ac:dyDescent="0.25">
      <c r="A70" s="211" t="s">
        <v>119</v>
      </c>
      <c r="B70" s="261"/>
      <c r="C70" s="262"/>
      <c r="D70"/>
      <c r="E70"/>
      <c r="F70"/>
    </row>
    <row r="71" spans="1:6" ht="14.5" x14ac:dyDescent="0.25">
      <c r="A71" s="211" t="s">
        <v>120</v>
      </c>
      <c r="B71" s="263"/>
      <c r="C71" s="264"/>
      <c r="D71"/>
      <c r="E71"/>
      <c r="F71"/>
    </row>
    <row r="72" spans="1:6" ht="14.5" x14ac:dyDescent="0.25">
      <c r="A72" s="211" t="s">
        <v>121</v>
      </c>
      <c r="B72" s="263"/>
      <c r="C72" s="264"/>
      <c r="D72"/>
      <c r="E72"/>
      <c r="F72"/>
    </row>
    <row r="73" spans="1:6" x14ac:dyDescent="0.25">
      <c r="A73"/>
      <c r="B73"/>
      <c r="C73"/>
      <c r="D73"/>
      <c r="E73"/>
      <c r="F73"/>
    </row>
    <row r="74" spans="1:6" ht="30" customHeight="1" x14ac:dyDescent="0.25">
      <c r="A74" s="255" t="s">
        <v>122</v>
      </c>
      <c r="B74" s="256" t="s">
        <v>99</v>
      </c>
      <c r="C74" s="257"/>
      <c r="D74" s="93"/>
      <c r="E74"/>
      <c r="F74"/>
    </row>
    <row r="75" spans="1:6" ht="34.5" customHeight="1" x14ac:dyDescent="0.25">
      <c r="A75" s="258" t="s">
        <v>99</v>
      </c>
      <c r="B75" s="259"/>
      <c r="C75" s="260"/>
      <c r="D75" s="93"/>
      <c r="E75"/>
      <c r="F75"/>
    </row>
    <row r="76" spans="1:6" x14ac:dyDescent="0.25">
      <c r="A76"/>
      <c r="B76"/>
      <c r="C76"/>
      <c r="D76"/>
      <c r="E76"/>
      <c r="F76"/>
    </row>
    <row r="77" spans="1:6" x14ac:dyDescent="0.25">
      <c r="A77"/>
      <c r="B77"/>
      <c r="C77"/>
      <c r="D77"/>
      <c r="E77"/>
      <c r="F77"/>
    </row>
    <row r="78" spans="1:6" x14ac:dyDescent="0.25">
      <c r="A78"/>
      <c r="B78"/>
      <c r="C78"/>
      <c r="D78"/>
      <c r="E78"/>
      <c r="F78"/>
    </row>
    <row r="79" spans="1:6" x14ac:dyDescent="0.25">
      <c r="E79" s="7"/>
      <c r="F79" s="7"/>
    </row>
    <row r="80" spans="1:6" x14ac:dyDescent="0.25">
      <c r="E80" s="7"/>
      <c r="F80" s="7"/>
    </row>
    <row r="81" s="7" customFormat="1" x14ac:dyDescent="0.25"/>
    <row r="82" s="7" customFormat="1" x14ac:dyDescent="0.25"/>
    <row r="83" s="7" customFormat="1" x14ac:dyDescent="0.25"/>
    <row r="84" s="7" customFormat="1" x14ac:dyDescent="0.25"/>
    <row r="85" s="7" customFormat="1" x14ac:dyDescent="0.25"/>
    <row r="86" s="7" customFormat="1" x14ac:dyDescent="0.25"/>
    <row r="87" s="7" customFormat="1" x14ac:dyDescent="0.25"/>
    <row r="88" s="7" customFormat="1" x14ac:dyDescent="0.25"/>
    <row r="89" s="7" customFormat="1" x14ac:dyDescent="0.25"/>
    <row r="90" s="7" customFormat="1" x14ac:dyDescent="0.25"/>
    <row r="91" s="7" customFormat="1" x14ac:dyDescent="0.25"/>
    <row r="92" s="7" customFormat="1" x14ac:dyDescent="0.25"/>
    <row r="93" s="7" customFormat="1" x14ac:dyDescent="0.25"/>
    <row r="94" s="7" customFormat="1" x14ac:dyDescent="0.25"/>
    <row r="95" s="7" customFormat="1" x14ac:dyDescent="0.25"/>
    <row r="96" s="7" customFormat="1" x14ac:dyDescent="0.25"/>
    <row r="97" s="7" customFormat="1" x14ac:dyDescent="0.25"/>
    <row r="98" s="7" customFormat="1" x14ac:dyDescent="0.25"/>
    <row r="99" s="7" customFormat="1" x14ac:dyDescent="0.25"/>
    <row r="100" s="7" customFormat="1" x14ac:dyDescent="0.25"/>
    <row r="101" s="7" customFormat="1" x14ac:dyDescent="0.25"/>
    <row r="102" s="7" customFormat="1" x14ac:dyDescent="0.25"/>
    <row r="103" s="7" customFormat="1" x14ac:dyDescent="0.25"/>
    <row r="104" s="7" customFormat="1" x14ac:dyDescent="0.25"/>
    <row r="105" s="7" customFormat="1" x14ac:dyDescent="0.25"/>
    <row r="106" s="7" customFormat="1" x14ac:dyDescent="0.25"/>
    <row r="107" s="7" customFormat="1" x14ac:dyDescent="0.25"/>
    <row r="108" s="7" customFormat="1" x14ac:dyDescent="0.25"/>
    <row r="109" s="7" customFormat="1" x14ac:dyDescent="0.25"/>
    <row r="110" s="7" customFormat="1" x14ac:dyDescent="0.25"/>
    <row r="111" s="7" customFormat="1" x14ac:dyDescent="0.25"/>
    <row r="112" s="7" customFormat="1" x14ac:dyDescent="0.25"/>
    <row r="113" s="7" customFormat="1" x14ac:dyDescent="0.25"/>
    <row r="114" s="7" customFormat="1" x14ac:dyDescent="0.25"/>
    <row r="115" s="7" customFormat="1" x14ac:dyDescent="0.25"/>
    <row r="116" s="7" customFormat="1" x14ac:dyDescent="0.25"/>
    <row r="117" s="7" customFormat="1" x14ac:dyDescent="0.25"/>
    <row r="118" s="7" customFormat="1" x14ac:dyDescent="0.25"/>
    <row r="119" s="7" customFormat="1" x14ac:dyDescent="0.25"/>
    <row r="120" s="7" customFormat="1" x14ac:dyDescent="0.25"/>
    <row r="121" s="7" customFormat="1" x14ac:dyDescent="0.25"/>
    <row r="122" s="7" customFormat="1" x14ac:dyDescent="0.25"/>
    <row r="123" s="7" customFormat="1" x14ac:dyDescent="0.25"/>
    <row r="124" s="7" customFormat="1" x14ac:dyDescent="0.25"/>
    <row r="125" s="7" customFormat="1" x14ac:dyDescent="0.25"/>
    <row r="126" s="7" customFormat="1" x14ac:dyDescent="0.25"/>
    <row r="127" s="7" customFormat="1" x14ac:dyDescent="0.25"/>
    <row r="128" s="7" customFormat="1" x14ac:dyDescent="0.25"/>
    <row r="129" s="7" customFormat="1" x14ac:dyDescent="0.25"/>
    <row r="130" s="7" customFormat="1" x14ac:dyDescent="0.25"/>
    <row r="131" s="7" customFormat="1" x14ac:dyDescent="0.25"/>
    <row r="132" s="7" customFormat="1" x14ac:dyDescent="0.25"/>
    <row r="133" s="7" customFormat="1" x14ac:dyDescent="0.25"/>
    <row r="134" s="7" customFormat="1" x14ac:dyDescent="0.25"/>
    <row r="135" s="7" customFormat="1" x14ac:dyDescent="0.25"/>
    <row r="136" s="7" customFormat="1" x14ac:dyDescent="0.25"/>
    <row r="137" s="7" customFormat="1" x14ac:dyDescent="0.25"/>
    <row r="138" s="7" customFormat="1" x14ac:dyDescent="0.25"/>
    <row r="139" s="7" customFormat="1" x14ac:dyDescent="0.25"/>
    <row r="140" s="7" customFormat="1" x14ac:dyDescent="0.25"/>
    <row r="141" s="7" customFormat="1" x14ac:dyDescent="0.25"/>
    <row r="142" s="7" customFormat="1" x14ac:dyDescent="0.25"/>
    <row r="143" s="7" customFormat="1" x14ac:dyDescent="0.25"/>
    <row r="144" s="7" customFormat="1" x14ac:dyDescent="0.25"/>
    <row r="145" s="7" customFormat="1" x14ac:dyDescent="0.25"/>
    <row r="146" s="7" customFormat="1" x14ac:dyDescent="0.25"/>
    <row r="147" s="7" customFormat="1" x14ac:dyDescent="0.25"/>
    <row r="148" s="7" customFormat="1" x14ac:dyDescent="0.25"/>
    <row r="149" s="7" customFormat="1" x14ac:dyDescent="0.25"/>
    <row r="150" s="7" customFormat="1" x14ac:dyDescent="0.25"/>
    <row r="151" s="7" customFormat="1" x14ac:dyDescent="0.25"/>
    <row r="152" s="7" customFormat="1" x14ac:dyDescent="0.25"/>
    <row r="153" s="7" customFormat="1" x14ac:dyDescent="0.25"/>
    <row r="154" s="7" customFormat="1" x14ac:dyDescent="0.25"/>
    <row r="155" s="7" customFormat="1" x14ac:dyDescent="0.25"/>
    <row r="156" s="7" customFormat="1" x14ac:dyDescent="0.25"/>
    <row r="157" s="7" customFormat="1" x14ac:dyDescent="0.25"/>
    <row r="158" s="7" customFormat="1" x14ac:dyDescent="0.25"/>
    <row r="159" s="7" customFormat="1" x14ac:dyDescent="0.25"/>
    <row r="160"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7" customFormat="1" x14ac:dyDescent="0.25"/>
    <row r="194" s="7" customFormat="1" x14ac:dyDescent="0.25"/>
    <row r="195" s="7" customFormat="1" x14ac:dyDescent="0.25"/>
    <row r="196" s="7" customFormat="1" x14ac:dyDescent="0.25"/>
    <row r="197" s="7" customFormat="1" x14ac:dyDescent="0.25"/>
    <row r="198" s="7" customFormat="1" x14ac:dyDescent="0.25"/>
    <row r="199" s="7" customFormat="1" x14ac:dyDescent="0.25"/>
    <row r="200" s="7" customFormat="1" x14ac:dyDescent="0.25"/>
    <row r="201" s="7" customFormat="1" x14ac:dyDescent="0.25"/>
    <row r="202" s="7" customFormat="1" x14ac:dyDescent="0.25"/>
    <row r="203" s="7" customFormat="1" x14ac:dyDescent="0.25"/>
    <row r="204" s="7" customFormat="1" x14ac:dyDescent="0.25"/>
    <row r="205" s="7" customFormat="1" x14ac:dyDescent="0.25"/>
    <row r="206" s="7" customFormat="1" x14ac:dyDescent="0.25"/>
    <row r="207" s="7" customFormat="1" x14ac:dyDescent="0.25"/>
    <row r="208" s="7" customFormat="1" x14ac:dyDescent="0.25"/>
    <row r="209" s="7" customFormat="1" x14ac:dyDescent="0.25"/>
    <row r="210" s="7" customFormat="1" x14ac:dyDescent="0.25"/>
    <row r="211" s="7" customFormat="1" x14ac:dyDescent="0.25"/>
    <row r="212" s="7" customFormat="1" x14ac:dyDescent="0.25"/>
    <row r="213" s="7" customFormat="1" x14ac:dyDescent="0.25"/>
    <row r="214" s="7" customFormat="1" x14ac:dyDescent="0.25"/>
    <row r="215" s="7" customFormat="1" x14ac:dyDescent="0.25"/>
    <row r="216" s="7" customFormat="1" x14ac:dyDescent="0.25"/>
    <row r="217" s="7" customFormat="1" x14ac:dyDescent="0.25"/>
    <row r="218" s="7" customFormat="1" x14ac:dyDescent="0.25"/>
    <row r="219" s="7" customFormat="1" x14ac:dyDescent="0.25"/>
    <row r="220" s="7" customFormat="1" x14ac:dyDescent="0.25"/>
    <row r="221" s="7" customFormat="1" x14ac:dyDescent="0.25"/>
    <row r="222" s="7" customFormat="1" x14ac:dyDescent="0.25"/>
    <row r="223" s="7" customFormat="1" x14ac:dyDescent="0.25"/>
    <row r="224" s="7" customFormat="1" x14ac:dyDescent="0.25"/>
    <row r="225" s="7" customFormat="1" x14ac:dyDescent="0.25"/>
    <row r="226" s="7" customFormat="1" x14ac:dyDescent="0.25"/>
    <row r="227" s="7" customFormat="1" x14ac:dyDescent="0.25"/>
    <row r="228" s="7" customFormat="1" x14ac:dyDescent="0.25"/>
    <row r="229" s="7" customFormat="1" x14ac:dyDescent="0.25"/>
    <row r="230" s="7" customFormat="1" x14ac:dyDescent="0.25"/>
    <row r="231" s="7" customFormat="1" x14ac:dyDescent="0.25"/>
    <row r="232" s="7" customFormat="1" x14ac:dyDescent="0.25"/>
    <row r="233" s="7" customFormat="1" x14ac:dyDescent="0.25"/>
    <row r="234" s="7" customFormat="1" x14ac:dyDescent="0.25"/>
    <row r="235" s="7" customFormat="1" x14ac:dyDescent="0.25"/>
    <row r="236" s="7" customFormat="1" x14ac:dyDescent="0.25"/>
    <row r="237" s="7" customFormat="1" x14ac:dyDescent="0.25"/>
    <row r="238" s="7" customFormat="1" x14ac:dyDescent="0.25"/>
    <row r="239" s="7" customFormat="1" x14ac:dyDescent="0.25"/>
    <row r="240" s="7" customFormat="1" x14ac:dyDescent="0.25"/>
    <row r="241" s="7" customFormat="1" x14ac:dyDescent="0.25"/>
    <row r="242" s="7" customFormat="1" x14ac:dyDescent="0.25"/>
    <row r="243" s="7" customFormat="1" x14ac:dyDescent="0.25"/>
    <row r="244" s="7" customFormat="1" x14ac:dyDescent="0.25"/>
    <row r="245" s="7" customFormat="1" x14ac:dyDescent="0.25"/>
    <row r="246" s="7" customFormat="1" x14ac:dyDescent="0.25"/>
    <row r="247" s="7" customFormat="1" x14ac:dyDescent="0.25"/>
    <row r="248" s="7" customFormat="1" x14ac:dyDescent="0.25"/>
    <row r="249" s="7" customFormat="1" x14ac:dyDescent="0.25"/>
    <row r="250" s="7" customFormat="1" x14ac:dyDescent="0.25"/>
    <row r="251" s="7" customFormat="1" x14ac:dyDescent="0.25"/>
    <row r="252" s="7" customFormat="1" x14ac:dyDescent="0.25"/>
    <row r="253" s="7" customFormat="1" x14ac:dyDescent="0.25"/>
    <row r="254" s="7" customFormat="1" x14ac:dyDescent="0.25"/>
    <row r="255" s="7" customFormat="1" x14ac:dyDescent="0.25"/>
    <row r="256" s="7" customFormat="1" x14ac:dyDescent="0.25"/>
    <row r="257" s="7" customFormat="1" x14ac:dyDescent="0.25"/>
    <row r="258" s="7" customFormat="1" x14ac:dyDescent="0.25"/>
    <row r="259" s="7" customFormat="1" x14ac:dyDescent="0.25"/>
    <row r="260" s="7" customFormat="1" x14ac:dyDescent="0.25"/>
    <row r="261" s="7" customFormat="1" x14ac:dyDescent="0.25"/>
    <row r="262" s="7" customFormat="1" x14ac:dyDescent="0.25"/>
    <row r="263" s="7" customFormat="1" x14ac:dyDescent="0.25"/>
    <row r="264" s="7" customFormat="1" x14ac:dyDescent="0.25"/>
    <row r="265" s="7" customFormat="1" x14ac:dyDescent="0.25"/>
    <row r="266" s="7" customFormat="1" x14ac:dyDescent="0.25"/>
    <row r="267" s="7" customFormat="1" x14ac:dyDescent="0.25"/>
    <row r="268" s="7" customFormat="1" x14ac:dyDescent="0.25"/>
    <row r="269" s="7" customFormat="1" x14ac:dyDescent="0.25"/>
    <row r="270" s="7" customFormat="1" x14ac:dyDescent="0.25"/>
    <row r="271" s="7" customFormat="1" x14ac:dyDescent="0.25"/>
    <row r="272" s="7" customFormat="1" x14ac:dyDescent="0.25"/>
    <row r="273" s="7" customFormat="1" x14ac:dyDescent="0.25"/>
    <row r="274" s="7" customFormat="1" x14ac:dyDescent="0.25"/>
    <row r="275" s="7" customFormat="1" x14ac:dyDescent="0.25"/>
    <row r="276" s="7" customFormat="1" x14ac:dyDescent="0.25"/>
    <row r="277" s="7" customFormat="1" x14ac:dyDescent="0.25"/>
    <row r="278" s="7" customFormat="1" x14ac:dyDescent="0.25"/>
    <row r="279" s="7" customFormat="1" x14ac:dyDescent="0.25"/>
    <row r="280" s="7" customFormat="1" x14ac:dyDescent="0.25"/>
    <row r="281" s="7" customFormat="1" x14ac:dyDescent="0.25"/>
    <row r="282" s="7" customFormat="1" x14ac:dyDescent="0.25"/>
    <row r="283" s="7" customFormat="1" x14ac:dyDescent="0.25"/>
    <row r="284" s="7" customFormat="1" x14ac:dyDescent="0.25"/>
    <row r="285" s="7" customFormat="1" x14ac:dyDescent="0.25"/>
    <row r="286" s="7" customFormat="1" x14ac:dyDescent="0.25"/>
    <row r="287" s="7" customFormat="1" x14ac:dyDescent="0.25"/>
    <row r="288" s="7" customFormat="1" x14ac:dyDescent="0.25"/>
    <row r="289" s="7" customFormat="1" x14ac:dyDescent="0.25"/>
    <row r="290" s="7" customFormat="1" x14ac:dyDescent="0.25"/>
    <row r="291" s="7" customFormat="1" x14ac:dyDescent="0.25"/>
    <row r="292" s="7" customFormat="1" x14ac:dyDescent="0.25"/>
    <row r="293" s="7" customFormat="1" x14ac:dyDescent="0.25"/>
    <row r="294" s="7" customFormat="1" x14ac:dyDescent="0.25"/>
    <row r="295" s="7" customFormat="1" x14ac:dyDescent="0.25"/>
    <row r="296" s="7" customFormat="1" x14ac:dyDescent="0.25"/>
    <row r="297" s="7" customFormat="1" x14ac:dyDescent="0.25"/>
    <row r="298" s="7" customFormat="1" x14ac:dyDescent="0.25"/>
    <row r="299" s="7" customFormat="1" x14ac:dyDescent="0.25"/>
    <row r="300" s="7" customFormat="1" x14ac:dyDescent="0.25"/>
    <row r="301" s="7" customFormat="1" x14ac:dyDescent="0.25"/>
    <row r="302" s="7" customFormat="1" x14ac:dyDescent="0.25"/>
    <row r="303" s="7" customFormat="1" x14ac:dyDescent="0.25"/>
    <row r="304" s="7" customFormat="1" x14ac:dyDescent="0.25"/>
    <row r="305" s="7" customFormat="1" x14ac:dyDescent="0.25"/>
    <row r="306" s="7" customFormat="1" x14ac:dyDescent="0.25"/>
    <row r="307" s="7" customFormat="1" x14ac:dyDescent="0.25"/>
    <row r="308" s="7" customFormat="1" x14ac:dyDescent="0.25"/>
    <row r="309" s="7" customFormat="1" x14ac:dyDescent="0.25"/>
    <row r="310" s="7" customFormat="1" x14ac:dyDescent="0.25"/>
    <row r="311" s="7" customFormat="1" x14ac:dyDescent="0.25"/>
    <row r="312" s="7" customFormat="1" x14ac:dyDescent="0.25"/>
    <row r="313" s="7" customFormat="1" x14ac:dyDescent="0.25"/>
    <row r="314" s="7" customFormat="1" x14ac:dyDescent="0.25"/>
    <row r="315" s="7" customFormat="1" x14ac:dyDescent="0.25"/>
    <row r="316" s="7" customFormat="1" x14ac:dyDescent="0.25"/>
    <row r="317" s="7" customFormat="1" x14ac:dyDescent="0.25"/>
    <row r="318" s="7" customFormat="1" x14ac:dyDescent="0.25"/>
    <row r="319" s="7" customFormat="1" x14ac:dyDescent="0.25"/>
    <row r="320" s="7" customFormat="1" x14ac:dyDescent="0.25"/>
    <row r="321" s="7" customFormat="1" x14ac:dyDescent="0.25"/>
    <row r="322" s="7" customFormat="1" x14ac:dyDescent="0.25"/>
    <row r="323" s="7" customFormat="1" x14ac:dyDescent="0.25"/>
    <row r="324" s="7" customFormat="1" x14ac:dyDescent="0.25"/>
    <row r="325" s="7" customFormat="1" x14ac:dyDescent="0.25"/>
    <row r="326" s="7" customFormat="1" x14ac:dyDescent="0.25"/>
    <row r="327" s="7" customFormat="1" x14ac:dyDescent="0.25"/>
    <row r="328" s="7" customFormat="1" x14ac:dyDescent="0.25"/>
    <row r="329" s="7" customFormat="1" x14ac:dyDescent="0.25"/>
    <row r="330" s="7" customFormat="1" x14ac:dyDescent="0.25"/>
    <row r="331" s="7" customFormat="1" x14ac:dyDescent="0.25"/>
    <row r="332" s="7" customFormat="1" x14ac:dyDescent="0.25"/>
    <row r="333" s="7" customFormat="1" x14ac:dyDescent="0.25"/>
    <row r="334" s="7" customFormat="1" x14ac:dyDescent="0.25"/>
    <row r="335" s="7" customFormat="1" x14ac:dyDescent="0.25"/>
    <row r="336" s="7" customFormat="1" x14ac:dyDescent="0.25"/>
    <row r="337" s="7" customFormat="1" x14ac:dyDescent="0.25"/>
    <row r="338" s="7" customFormat="1" x14ac:dyDescent="0.25"/>
    <row r="339" s="7" customFormat="1" x14ac:dyDescent="0.25"/>
    <row r="340" s="7" customFormat="1" x14ac:dyDescent="0.25"/>
    <row r="341" s="7" customFormat="1" x14ac:dyDescent="0.25"/>
    <row r="342" s="7" customFormat="1" x14ac:dyDescent="0.25"/>
    <row r="343" s="7" customFormat="1" x14ac:dyDescent="0.25"/>
    <row r="344" s="7" customFormat="1" x14ac:dyDescent="0.25"/>
    <row r="345" s="7" customFormat="1" x14ac:dyDescent="0.25"/>
    <row r="346" s="7" customFormat="1" x14ac:dyDescent="0.25"/>
    <row r="347" s="7" customFormat="1" x14ac:dyDescent="0.25"/>
    <row r="348" s="7" customFormat="1" x14ac:dyDescent="0.25"/>
    <row r="349" s="7" customFormat="1" x14ac:dyDescent="0.25"/>
    <row r="350" s="7" customFormat="1" x14ac:dyDescent="0.25"/>
    <row r="351" s="7" customFormat="1" x14ac:dyDescent="0.25"/>
    <row r="352" s="7" customFormat="1" x14ac:dyDescent="0.25"/>
    <row r="353" s="7" customFormat="1" x14ac:dyDescent="0.25"/>
    <row r="354" s="7" customFormat="1" x14ac:dyDescent="0.25"/>
    <row r="355" s="7" customFormat="1" x14ac:dyDescent="0.25"/>
    <row r="356" s="7" customFormat="1" x14ac:dyDescent="0.25"/>
    <row r="357" s="7" customFormat="1" x14ac:dyDescent="0.25"/>
    <row r="358" s="7" customFormat="1" x14ac:dyDescent="0.25"/>
    <row r="359" s="7" customFormat="1" x14ac:dyDescent="0.25"/>
    <row r="360" s="7" customFormat="1" x14ac:dyDescent="0.25"/>
    <row r="361" s="7" customFormat="1" x14ac:dyDescent="0.25"/>
    <row r="362" s="7" customFormat="1" x14ac:dyDescent="0.25"/>
    <row r="363" s="7" customFormat="1" x14ac:dyDescent="0.25"/>
    <row r="364" s="7" customFormat="1" x14ac:dyDescent="0.25"/>
    <row r="365" s="7" customFormat="1" x14ac:dyDescent="0.25"/>
    <row r="366" s="7" customFormat="1" x14ac:dyDescent="0.25"/>
    <row r="367" s="7" customFormat="1" x14ac:dyDescent="0.25"/>
    <row r="368" s="7" customFormat="1" x14ac:dyDescent="0.25"/>
    <row r="369" s="7" customFormat="1" x14ac:dyDescent="0.25"/>
    <row r="370" s="7" customFormat="1" x14ac:dyDescent="0.25"/>
    <row r="371" s="7" customFormat="1" x14ac:dyDescent="0.25"/>
    <row r="372" s="7" customFormat="1" x14ac:dyDescent="0.25"/>
    <row r="373" s="7" customFormat="1" x14ac:dyDescent="0.25"/>
    <row r="374" s="7" customFormat="1" x14ac:dyDescent="0.25"/>
    <row r="375" s="7" customFormat="1" x14ac:dyDescent="0.25"/>
    <row r="376" s="7" customFormat="1" x14ac:dyDescent="0.25"/>
    <row r="377" s="7" customFormat="1" x14ac:dyDescent="0.25"/>
    <row r="378" s="7" customFormat="1" x14ac:dyDescent="0.25"/>
    <row r="379" s="7" customFormat="1" x14ac:dyDescent="0.25"/>
    <row r="380" s="7" customFormat="1" x14ac:dyDescent="0.25"/>
    <row r="381" s="7" customFormat="1" x14ac:dyDescent="0.25"/>
    <row r="382" s="7" customFormat="1" x14ac:dyDescent="0.25"/>
    <row r="383" s="7" customFormat="1" x14ac:dyDescent="0.25"/>
    <row r="384" s="7" customFormat="1" x14ac:dyDescent="0.25"/>
    <row r="385" s="7" customFormat="1" x14ac:dyDescent="0.25"/>
    <row r="386" s="7" customFormat="1" x14ac:dyDescent="0.25"/>
    <row r="387" s="7" customFormat="1" x14ac:dyDescent="0.25"/>
    <row r="388" s="7" customFormat="1" x14ac:dyDescent="0.25"/>
    <row r="389" s="7" customFormat="1" x14ac:dyDescent="0.25"/>
    <row r="390" s="7" customFormat="1" x14ac:dyDescent="0.25"/>
    <row r="391" s="7" customFormat="1" x14ac:dyDescent="0.25"/>
    <row r="392" s="7" customFormat="1" x14ac:dyDescent="0.25"/>
    <row r="393" s="7" customFormat="1" x14ac:dyDescent="0.25"/>
    <row r="394" s="7" customFormat="1" x14ac:dyDescent="0.25"/>
    <row r="395" s="7" customFormat="1" x14ac:dyDescent="0.25"/>
    <row r="396" s="7" customFormat="1" x14ac:dyDescent="0.25"/>
    <row r="397" s="7" customFormat="1" x14ac:dyDescent="0.25"/>
    <row r="398" s="7" customFormat="1" x14ac:dyDescent="0.25"/>
    <row r="399" s="7" customFormat="1" x14ac:dyDescent="0.25"/>
    <row r="400" s="7" customFormat="1" x14ac:dyDescent="0.25"/>
    <row r="401" s="7" customFormat="1" x14ac:dyDescent="0.25"/>
    <row r="402" s="7" customFormat="1" x14ac:dyDescent="0.25"/>
    <row r="403" s="7" customFormat="1" x14ac:dyDescent="0.25"/>
    <row r="404" s="7" customFormat="1" x14ac:dyDescent="0.25"/>
    <row r="405" s="7" customFormat="1" x14ac:dyDescent="0.25"/>
    <row r="406" s="7" customFormat="1" x14ac:dyDescent="0.25"/>
    <row r="407" s="7" customFormat="1" x14ac:dyDescent="0.25"/>
    <row r="408" s="7" customFormat="1" x14ac:dyDescent="0.25"/>
    <row r="409" s="7" customFormat="1" x14ac:dyDescent="0.25"/>
    <row r="410" s="7" customFormat="1" x14ac:dyDescent="0.25"/>
    <row r="411" s="7" customFormat="1" x14ac:dyDescent="0.25"/>
    <row r="412" s="7" customFormat="1" x14ac:dyDescent="0.25"/>
    <row r="413" s="7" customFormat="1" x14ac:dyDescent="0.25"/>
    <row r="414" s="7" customFormat="1" x14ac:dyDescent="0.25"/>
    <row r="415" s="7" customFormat="1" x14ac:dyDescent="0.25"/>
    <row r="416" s="7" customFormat="1" x14ac:dyDescent="0.25"/>
    <row r="417" s="7" customFormat="1" x14ac:dyDescent="0.25"/>
    <row r="418" s="7" customFormat="1" x14ac:dyDescent="0.25"/>
    <row r="419" s="7" customFormat="1" x14ac:dyDescent="0.25"/>
    <row r="420" s="7" customFormat="1" x14ac:dyDescent="0.25"/>
    <row r="421" s="7" customFormat="1" x14ac:dyDescent="0.25"/>
    <row r="422" s="7" customFormat="1" x14ac:dyDescent="0.25"/>
    <row r="423" s="7" customFormat="1" x14ac:dyDescent="0.25"/>
    <row r="424" s="7" customFormat="1" x14ac:dyDescent="0.25"/>
    <row r="425" s="7" customFormat="1" x14ac:dyDescent="0.25"/>
    <row r="426" s="7" customFormat="1" x14ac:dyDescent="0.25"/>
    <row r="427" s="7" customFormat="1" x14ac:dyDescent="0.25"/>
    <row r="428" s="7" customFormat="1" x14ac:dyDescent="0.25"/>
    <row r="429" s="7" customFormat="1" x14ac:dyDescent="0.25"/>
    <row r="430" s="7" customFormat="1" x14ac:dyDescent="0.25"/>
    <row r="431" s="7" customFormat="1" x14ac:dyDescent="0.25"/>
    <row r="432" s="7" customFormat="1" x14ac:dyDescent="0.25"/>
    <row r="433" s="7" customFormat="1" x14ac:dyDescent="0.25"/>
    <row r="434" s="7" customFormat="1" x14ac:dyDescent="0.25"/>
    <row r="435" s="7" customFormat="1" x14ac:dyDescent="0.25"/>
    <row r="436" s="7" customFormat="1" x14ac:dyDescent="0.25"/>
    <row r="437" s="7" customFormat="1" x14ac:dyDescent="0.25"/>
    <row r="438" s="7" customFormat="1" x14ac:dyDescent="0.25"/>
    <row r="439" s="7" customFormat="1" x14ac:dyDescent="0.25"/>
    <row r="440" s="7" customFormat="1" x14ac:dyDescent="0.25"/>
    <row r="441" s="7" customFormat="1" x14ac:dyDescent="0.25"/>
    <row r="442" s="7" customFormat="1" x14ac:dyDescent="0.25"/>
    <row r="443" s="7" customFormat="1" x14ac:dyDescent="0.25"/>
    <row r="444" s="7" customFormat="1" x14ac:dyDescent="0.25"/>
    <row r="445" s="7" customFormat="1" x14ac:dyDescent="0.25"/>
    <row r="446" s="7" customFormat="1" x14ac:dyDescent="0.25"/>
    <row r="447" s="7" customFormat="1" x14ac:dyDescent="0.25"/>
    <row r="448" s="7" customFormat="1" x14ac:dyDescent="0.25"/>
    <row r="449" s="7" customFormat="1" x14ac:dyDescent="0.25"/>
    <row r="450" s="7" customFormat="1" x14ac:dyDescent="0.25"/>
    <row r="451" s="7" customFormat="1" x14ac:dyDescent="0.25"/>
    <row r="452" s="7" customFormat="1" x14ac:dyDescent="0.25"/>
    <row r="453" s="7" customFormat="1" x14ac:dyDescent="0.25"/>
    <row r="454" s="7" customFormat="1" x14ac:dyDescent="0.25"/>
    <row r="455" s="7" customFormat="1" x14ac:dyDescent="0.25"/>
    <row r="456" s="7" customFormat="1" x14ac:dyDescent="0.25"/>
    <row r="457" s="7" customFormat="1" x14ac:dyDescent="0.25"/>
    <row r="458" s="7" customFormat="1" x14ac:dyDescent="0.25"/>
    <row r="459" s="7" customFormat="1" x14ac:dyDescent="0.25"/>
    <row r="460" s="7" customFormat="1" x14ac:dyDescent="0.25"/>
    <row r="461" s="7" customFormat="1" x14ac:dyDescent="0.25"/>
    <row r="462" s="7" customFormat="1" x14ac:dyDescent="0.25"/>
    <row r="463" s="7" customFormat="1" x14ac:dyDescent="0.25"/>
    <row r="464" s="7" customFormat="1" x14ac:dyDescent="0.25"/>
    <row r="465" s="7" customFormat="1" x14ac:dyDescent="0.25"/>
    <row r="466" s="7" customFormat="1" x14ac:dyDescent="0.25"/>
    <row r="467" s="7" customFormat="1" x14ac:dyDescent="0.25"/>
    <row r="468" s="7" customFormat="1" x14ac:dyDescent="0.25"/>
    <row r="469" s="7" customFormat="1" x14ac:dyDescent="0.25"/>
    <row r="470" s="7" customFormat="1" x14ac:dyDescent="0.25"/>
    <row r="471" s="7" customFormat="1" x14ac:dyDescent="0.25"/>
    <row r="472" s="7" customFormat="1" x14ac:dyDescent="0.25"/>
    <row r="473" s="7" customFormat="1" x14ac:dyDescent="0.25"/>
    <row r="474" s="7" customFormat="1" x14ac:dyDescent="0.25"/>
    <row r="475" s="7" customFormat="1" x14ac:dyDescent="0.25"/>
    <row r="476" s="7" customFormat="1" x14ac:dyDescent="0.25"/>
    <row r="477" s="7" customFormat="1" x14ac:dyDescent="0.25"/>
    <row r="478" s="7" customFormat="1" x14ac:dyDescent="0.25"/>
    <row r="479" s="7" customFormat="1" x14ac:dyDescent="0.25"/>
    <row r="480" s="7" customFormat="1" x14ac:dyDescent="0.25"/>
    <row r="481" s="7" customFormat="1" x14ac:dyDescent="0.25"/>
    <row r="482" s="7" customFormat="1" x14ac:dyDescent="0.25"/>
    <row r="483" s="7" customFormat="1" x14ac:dyDescent="0.25"/>
    <row r="484" s="7" customFormat="1" x14ac:dyDescent="0.25"/>
    <row r="485" s="7" customFormat="1" x14ac:dyDescent="0.25"/>
    <row r="486" s="7" customFormat="1" x14ac:dyDescent="0.25"/>
    <row r="487" s="7" customFormat="1" x14ac:dyDescent="0.25"/>
    <row r="488" s="7" customFormat="1" x14ac:dyDescent="0.25"/>
    <row r="489" s="7" customFormat="1" x14ac:dyDescent="0.25"/>
    <row r="490" s="7" customFormat="1" x14ac:dyDescent="0.25"/>
    <row r="491" s="7" customFormat="1" x14ac:dyDescent="0.25"/>
    <row r="492" s="7" customFormat="1" x14ac:dyDescent="0.25"/>
    <row r="493" s="7" customFormat="1" x14ac:dyDescent="0.25"/>
    <row r="494" s="7" customFormat="1" x14ac:dyDescent="0.25"/>
    <row r="495" s="7" customFormat="1" x14ac:dyDescent="0.25"/>
    <row r="496" s="7" customFormat="1" x14ac:dyDescent="0.25"/>
    <row r="497" s="7" customFormat="1" x14ac:dyDescent="0.25"/>
    <row r="498" s="7" customFormat="1" x14ac:dyDescent="0.25"/>
    <row r="499" s="7" customFormat="1" x14ac:dyDescent="0.25"/>
    <row r="500" s="7" customFormat="1" x14ac:dyDescent="0.25"/>
    <row r="501" s="7" customFormat="1" x14ac:dyDescent="0.25"/>
    <row r="502" s="7" customFormat="1" x14ac:dyDescent="0.25"/>
    <row r="503" s="7" customFormat="1" x14ac:dyDescent="0.25"/>
    <row r="504" s="7" customFormat="1" x14ac:dyDescent="0.25"/>
    <row r="505" s="7" customFormat="1" x14ac:dyDescent="0.25"/>
    <row r="506" s="7" customFormat="1" x14ac:dyDescent="0.25"/>
    <row r="507" s="7" customFormat="1" x14ac:dyDescent="0.25"/>
    <row r="508" s="7" customFormat="1" x14ac:dyDescent="0.25"/>
    <row r="509" s="7" customFormat="1" x14ac:dyDescent="0.25"/>
    <row r="510" s="7" customFormat="1" x14ac:dyDescent="0.25"/>
    <row r="511" s="7" customFormat="1" x14ac:dyDescent="0.25"/>
    <row r="512" s="7" customFormat="1" x14ac:dyDescent="0.25"/>
    <row r="513" s="7" customFormat="1" x14ac:dyDescent="0.25"/>
    <row r="514" s="7" customFormat="1" x14ac:dyDescent="0.25"/>
    <row r="515" s="7" customFormat="1" x14ac:dyDescent="0.25"/>
    <row r="516" s="7" customFormat="1" x14ac:dyDescent="0.25"/>
    <row r="517" s="7" customFormat="1" x14ac:dyDescent="0.25"/>
    <row r="518" s="7" customFormat="1" x14ac:dyDescent="0.25"/>
    <row r="519" s="7" customFormat="1" x14ac:dyDescent="0.25"/>
    <row r="520" s="7" customFormat="1" x14ac:dyDescent="0.25"/>
    <row r="521" s="7" customFormat="1" x14ac:dyDescent="0.25"/>
    <row r="522" s="7" customFormat="1" x14ac:dyDescent="0.25"/>
    <row r="523" s="7" customFormat="1" x14ac:dyDescent="0.25"/>
    <row r="524" s="7" customFormat="1" x14ac:dyDescent="0.25"/>
    <row r="525" s="7" customFormat="1" x14ac:dyDescent="0.25"/>
    <row r="526" s="7" customFormat="1" x14ac:dyDescent="0.25"/>
    <row r="527" s="7" customFormat="1" x14ac:dyDescent="0.25"/>
    <row r="528" s="7" customFormat="1" x14ac:dyDescent="0.25"/>
    <row r="529" s="7" customFormat="1" x14ac:dyDescent="0.25"/>
    <row r="530" s="7" customFormat="1" x14ac:dyDescent="0.25"/>
    <row r="531" s="7" customFormat="1" x14ac:dyDescent="0.25"/>
    <row r="532" s="7" customFormat="1" x14ac:dyDescent="0.25"/>
    <row r="533" s="7" customFormat="1" x14ac:dyDescent="0.25"/>
    <row r="534" s="7" customFormat="1" x14ac:dyDescent="0.25"/>
    <row r="535" s="7" customFormat="1" x14ac:dyDescent="0.25"/>
    <row r="536" s="7" customFormat="1" x14ac:dyDescent="0.25"/>
    <row r="537" s="7" customFormat="1" x14ac:dyDescent="0.25"/>
    <row r="538" s="7" customFormat="1" x14ac:dyDescent="0.25"/>
    <row r="539" s="7" customFormat="1" x14ac:dyDescent="0.25"/>
    <row r="540" s="7" customFormat="1" x14ac:dyDescent="0.25"/>
    <row r="541" s="7" customFormat="1" x14ac:dyDescent="0.25"/>
    <row r="542" s="7" customFormat="1" x14ac:dyDescent="0.25"/>
    <row r="543" s="7" customFormat="1" x14ac:dyDescent="0.25"/>
    <row r="544" s="7" customFormat="1" x14ac:dyDescent="0.25"/>
    <row r="545" s="7" customFormat="1" x14ac:dyDescent="0.25"/>
    <row r="546" s="7" customFormat="1" x14ac:dyDescent="0.25"/>
    <row r="547" s="7" customFormat="1" x14ac:dyDescent="0.25"/>
    <row r="548" s="7" customFormat="1" x14ac:dyDescent="0.25"/>
    <row r="549" s="7" customFormat="1" x14ac:dyDescent="0.25"/>
    <row r="550" s="7" customFormat="1" x14ac:dyDescent="0.25"/>
    <row r="551" s="7" customFormat="1" x14ac:dyDescent="0.25"/>
    <row r="552" s="7" customFormat="1" x14ac:dyDescent="0.25"/>
    <row r="553" s="7" customFormat="1" x14ac:dyDescent="0.25"/>
    <row r="554" s="7" customFormat="1" x14ac:dyDescent="0.25"/>
    <row r="555" s="7" customFormat="1" x14ac:dyDescent="0.25"/>
    <row r="556" s="7" customFormat="1" x14ac:dyDescent="0.25"/>
    <row r="557" s="7" customFormat="1" x14ac:dyDescent="0.25"/>
    <row r="558" s="7" customFormat="1" x14ac:dyDescent="0.25"/>
    <row r="559" s="7" customFormat="1" x14ac:dyDescent="0.25"/>
    <row r="560" s="7" customFormat="1" x14ac:dyDescent="0.25"/>
    <row r="561" s="7" customFormat="1" x14ac:dyDescent="0.25"/>
    <row r="562" s="7" customFormat="1" x14ac:dyDescent="0.25"/>
    <row r="563" s="7" customFormat="1" x14ac:dyDescent="0.25"/>
    <row r="564" s="7" customFormat="1" x14ac:dyDescent="0.25"/>
    <row r="565" s="7" customFormat="1" x14ac:dyDescent="0.25"/>
    <row r="566" s="7" customFormat="1" x14ac:dyDescent="0.25"/>
    <row r="567" s="7" customFormat="1" x14ac:dyDescent="0.25"/>
    <row r="568" s="7" customFormat="1" x14ac:dyDescent="0.25"/>
    <row r="569" s="7" customFormat="1" x14ac:dyDescent="0.25"/>
    <row r="570" s="7" customFormat="1" x14ac:dyDescent="0.25"/>
    <row r="571" s="7" customFormat="1" x14ac:dyDescent="0.25"/>
    <row r="572" s="7" customFormat="1" x14ac:dyDescent="0.25"/>
    <row r="573" s="7" customFormat="1" x14ac:dyDescent="0.25"/>
    <row r="574" s="7" customFormat="1" x14ac:dyDescent="0.25"/>
    <row r="575" s="7" customFormat="1" x14ac:dyDescent="0.25"/>
    <row r="576" s="7" customFormat="1" x14ac:dyDescent="0.25"/>
    <row r="577" s="7" customFormat="1" x14ac:dyDescent="0.25"/>
    <row r="578" s="7" customFormat="1" x14ac:dyDescent="0.25"/>
    <row r="579" s="7" customFormat="1" x14ac:dyDescent="0.25"/>
    <row r="580" s="7" customFormat="1" x14ac:dyDescent="0.25"/>
    <row r="581" s="7" customFormat="1" x14ac:dyDescent="0.25"/>
    <row r="582" s="7" customFormat="1" x14ac:dyDescent="0.25"/>
    <row r="583" s="7" customFormat="1" x14ac:dyDescent="0.25"/>
    <row r="584" s="7" customFormat="1" x14ac:dyDescent="0.25"/>
    <row r="585" s="7" customFormat="1" x14ac:dyDescent="0.25"/>
    <row r="586" s="7" customFormat="1" x14ac:dyDescent="0.25"/>
    <row r="587" s="7" customFormat="1" x14ac:dyDescent="0.25"/>
    <row r="588" s="7" customFormat="1" x14ac:dyDescent="0.25"/>
    <row r="589" s="7" customFormat="1" x14ac:dyDescent="0.25"/>
    <row r="590" s="7" customFormat="1" x14ac:dyDescent="0.25"/>
    <row r="591" s="7" customFormat="1" x14ac:dyDescent="0.25"/>
    <row r="592" s="7" customFormat="1" x14ac:dyDescent="0.25"/>
    <row r="593" s="7" customFormat="1" x14ac:dyDescent="0.25"/>
    <row r="594" s="7" customFormat="1" x14ac:dyDescent="0.25"/>
    <row r="595" s="7" customFormat="1" x14ac:dyDescent="0.25"/>
    <row r="596" s="7" customFormat="1" x14ac:dyDescent="0.25"/>
    <row r="597" s="7" customFormat="1" x14ac:dyDescent="0.25"/>
    <row r="598" s="7" customFormat="1" x14ac:dyDescent="0.25"/>
    <row r="599" s="7" customFormat="1" x14ac:dyDescent="0.25"/>
    <row r="600" s="7" customFormat="1" x14ac:dyDescent="0.25"/>
    <row r="601" s="7" customFormat="1" x14ac:dyDescent="0.25"/>
    <row r="602" s="7" customFormat="1" x14ac:dyDescent="0.25"/>
    <row r="603" s="7" customFormat="1" x14ac:dyDescent="0.25"/>
    <row r="604" s="7" customFormat="1" x14ac:dyDescent="0.25"/>
    <row r="605" s="7" customFormat="1" x14ac:dyDescent="0.25"/>
    <row r="606" s="7" customFormat="1" x14ac:dyDescent="0.25"/>
    <row r="607" s="7" customFormat="1" x14ac:dyDescent="0.25"/>
    <row r="608" s="7" customFormat="1" x14ac:dyDescent="0.25"/>
    <row r="609" s="7" customFormat="1" x14ac:dyDescent="0.25"/>
    <row r="610" s="7" customFormat="1" x14ac:dyDescent="0.25"/>
    <row r="611" s="7" customFormat="1" x14ac:dyDescent="0.25"/>
    <row r="612" s="7" customFormat="1" x14ac:dyDescent="0.25"/>
    <row r="613" s="7" customFormat="1" x14ac:dyDescent="0.25"/>
    <row r="614" s="7" customFormat="1" x14ac:dyDescent="0.25"/>
    <row r="615" s="7" customFormat="1" x14ac:dyDescent="0.25"/>
    <row r="616" s="7" customFormat="1" x14ac:dyDescent="0.25"/>
    <row r="617" s="7" customFormat="1" x14ac:dyDescent="0.25"/>
    <row r="618" s="7" customFormat="1" x14ac:dyDescent="0.25"/>
    <row r="619" s="7" customFormat="1" x14ac:dyDescent="0.25"/>
    <row r="620" s="7" customFormat="1" x14ac:dyDescent="0.25"/>
    <row r="621" s="7" customFormat="1" x14ac:dyDescent="0.25"/>
    <row r="622" s="7" customFormat="1" x14ac:dyDescent="0.25"/>
    <row r="623" s="7" customFormat="1" x14ac:dyDescent="0.25"/>
    <row r="624" s="7" customFormat="1" x14ac:dyDescent="0.25"/>
    <row r="625" s="7" customFormat="1" x14ac:dyDescent="0.25"/>
    <row r="626" s="7" customFormat="1" x14ac:dyDescent="0.25"/>
    <row r="627" s="7" customFormat="1" x14ac:dyDescent="0.25"/>
    <row r="628" s="7" customFormat="1" x14ac:dyDescent="0.25"/>
    <row r="629" s="7" customFormat="1" x14ac:dyDescent="0.25"/>
    <row r="630" s="7" customFormat="1" x14ac:dyDescent="0.25"/>
    <row r="631" s="7" customFormat="1" x14ac:dyDescent="0.25"/>
    <row r="632" s="7" customFormat="1" x14ac:dyDescent="0.25"/>
    <row r="633" s="7" customFormat="1" x14ac:dyDescent="0.25"/>
    <row r="634" s="7" customFormat="1" x14ac:dyDescent="0.25"/>
    <row r="635" s="7" customFormat="1" x14ac:dyDescent="0.25"/>
    <row r="636" s="7" customFormat="1" x14ac:dyDescent="0.25"/>
    <row r="637" s="7" customFormat="1" x14ac:dyDescent="0.25"/>
    <row r="638" s="7" customFormat="1" x14ac:dyDescent="0.25"/>
  </sheetData>
  <sheetProtection selectLockedCells="1"/>
  <mergeCells count="59">
    <mergeCell ref="B25:F25"/>
    <mergeCell ref="B18:F18"/>
    <mergeCell ref="B19:F19"/>
    <mergeCell ref="B20:F20"/>
    <mergeCell ref="B21:F21"/>
    <mergeCell ref="B22:F22"/>
    <mergeCell ref="A12:F12"/>
    <mergeCell ref="B16:F16"/>
    <mergeCell ref="B17:F17"/>
    <mergeCell ref="B23:F23"/>
    <mergeCell ref="B24:F24"/>
    <mergeCell ref="B15:F15"/>
    <mergeCell ref="A5:F5"/>
    <mergeCell ref="A4:F4"/>
    <mergeCell ref="A3:F3"/>
    <mergeCell ref="B6:E6"/>
    <mergeCell ref="A11:F11"/>
    <mergeCell ref="A63:A66"/>
    <mergeCell ref="E56:F56"/>
    <mergeCell ref="E58:F58"/>
    <mergeCell ref="E59:F59"/>
    <mergeCell ref="E60:F60"/>
    <mergeCell ref="B63:F66"/>
    <mergeCell ref="A61:F61"/>
    <mergeCell ref="A41:F41"/>
    <mergeCell ref="B42:F42"/>
    <mergeCell ref="E55:F55"/>
    <mergeCell ref="B43:F43"/>
    <mergeCell ref="E57:F57"/>
    <mergeCell ref="B47:F47"/>
    <mergeCell ref="B49:F49"/>
    <mergeCell ref="C50:F50"/>
    <mergeCell ref="C51:F51"/>
    <mergeCell ref="C52:F52"/>
    <mergeCell ref="C53:F53"/>
    <mergeCell ref="B48:F48"/>
    <mergeCell ref="B46:F46"/>
    <mergeCell ref="A45:B45"/>
    <mergeCell ref="B26:F26"/>
    <mergeCell ref="B27:F27"/>
    <mergeCell ref="B28:F28"/>
    <mergeCell ref="B29:F29"/>
    <mergeCell ref="B44:F44"/>
    <mergeCell ref="A35:F35"/>
    <mergeCell ref="C36:F36"/>
    <mergeCell ref="C37:F37"/>
    <mergeCell ref="B30:F30"/>
    <mergeCell ref="B31:F31"/>
    <mergeCell ref="B32:F32"/>
    <mergeCell ref="B33:F33"/>
    <mergeCell ref="B34:F34"/>
    <mergeCell ref="C38:F38"/>
    <mergeCell ref="C39:F39"/>
    <mergeCell ref="C40:F40"/>
    <mergeCell ref="A74:C74"/>
    <mergeCell ref="A75:C75"/>
    <mergeCell ref="B70:C70"/>
    <mergeCell ref="B71:C71"/>
    <mergeCell ref="B72:C72"/>
  </mergeCells>
  <dataValidations count="5">
    <dataValidation type="list" allowBlank="1" showInputMessage="1" showErrorMessage="1" sqref="C51:C53 B74:C74 A75:C75" xr:uid="{00000000-0002-0000-0200-000000000000}">
      <formula1>"Please select from the drop down menu,yes,no"</formula1>
    </dataValidation>
    <dataValidation type="list" allowBlank="1" showInputMessage="1" showErrorMessage="1" sqref="B42" xr:uid="{00000000-0002-0000-0200-000001000000}">
      <formula1>"Please select from the drop down menu,Yes,No"</formula1>
    </dataValidation>
    <dataValidation type="list" allowBlank="1" showInputMessage="1" showErrorMessage="1" sqref="B15:F15" xr:uid="{00000000-0002-0000-0200-000002000000}">
      <formula1>"Lord, Mr, Ms, Mrs"</formula1>
    </dataValidation>
    <dataValidation type="list" allowBlank="1" showInputMessage="1" showErrorMessage="1" sqref="B44" xr:uid="{00000000-0002-0000-0200-000003000000}">
      <formula1>"Single, Accompanied, Partially Accompanied, Unaccompanied"</formula1>
    </dataValidation>
    <dataValidation type="list" allowBlank="1" showInputMessage="1" showErrorMessage="1" sqref="B43:F43" xr:uid="{00000000-0002-0000-0200-000004000000}">
      <formula1>"Single living with Partner, Single living alone, Civil Parnership, Married, Divorced, Separated"</formula1>
    </dataValidation>
  </dataValidations>
  <pageMargins left="0.7" right="0.7" top="0.75" bottom="0.75" header="0.3" footer="0.3"/>
  <pageSetup paperSize="9" scale="64"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5000000}">
          <x14:formula1>
            <xm:f>'Menus '!$E$11:$E$13</xm:f>
          </x14:formula1>
          <xm:sqref>B30 B49</xm:sqref>
        </x14:dataValidation>
        <x14:dataValidation type="list" allowBlank="1" showInputMessage="1" showErrorMessage="1" xr:uid="{00000000-0002-0000-0200-000006000000}">
          <x14:formula1>
            <xm:f>'Menus '!$D$11:$D$14</xm:f>
          </x14:formula1>
          <xm:sqref>B46</xm:sqref>
        </x14:dataValidation>
        <x14:dataValidation type="list" allowBlank="1" showInputMessage="1" showErrorMessage="1" xr:uid="{00000000-0002-0000-0200-000007000000}">
          <x14:formula1>
            <xm:f>'Menus '!$B$24:$B$25</xm:f>
          </x14:formula1>
          <xm:sqref>B24</xm:sqref>
        </x14:dataValidation>
        <x14:dataValidation type="list" allowBlank="1" showInputMessage="1" showErrorMessage="1" xr:uid="{00000000-0002-0000-0200-000008000000}">
          <x14:formula1>
            <xm:f>Sheet1!$E$3:$E$251</xm:f>
          </x14:formula1>
          <xm:sqref>B6:E6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G1048576"/>
  <sheetViews>
    <sheetView tabSelected="1" topLeftCell="A22" zoomScaleNormal="100" workbookViewId="0">
      <selection activeCell="B26" sqref="B26:D26"/>
    </sheetView>
  </sheetViews>
  <sheetFormatPr defaultColWidth="11.453125" defaultRowHeight="12.5" x14ac:dyDescent="0.25"/>
  <cols>
    <col min="1" max="1" width="67.26953125" customWidth="1"/>
    <col min="2" max="3" width="35.7265625" customWidth="1"/>
    <col min="4" max="4" width="17.81640625" customWidth="1"/>
    <col min="5" max="5" width="1.54296875" customWidth="1"/>
    <col min="6" max="16384" width="11.453125" style="7"/>
  </cols>
  <sheetData>
    <row r="1" spans="1:5" ht="42.75" customHeight="1" x14ac:dyDescent="0.25">
      <c r="A1" s="114"/>
      <c r="B1" s="117" t="s">
        <v>123</v>
      </c>
      <c r="C1" s="2"/>
      <c r="D1" s="2"/>
      <c r="E1" s="125"/>
    </row>
    <row r="2" spans="1:5" ht="15.75" customHeight="1" x14ac:dyDescent="0.25">
      <c r="A2" s="86"/>
      <c r="B2" s="4"/>
      <c r="C2" s="86"/>
      <c r="D2" s="86"/>
      <c r="E2" s="90"/>
    </row>
    <row r="3" spans="1:5" ht="14" x14ac:dyDescent="0.3">
      <c r="A3" s="126" t="s">
        <v>63</v>
      </c>
      <c r="B3" s="105"/>
      <c r="C3" s="105"/>
      <c r="D3" s="127"/>
      <c r="E3" s="90"/>
    </row>
    <row r="4" spans="1:5" ht="14" x14ac:dyDescent="0.3">
      <c r="A4" s="128" t="s">
        <v>124</v>
      </c>
      <c r="B4" s="107"/>
      <c r="C4" s="107"/>
      <c r="D4" s="129"/>
      <c r="E4" s="90"/>
    </row>
    <row r="5" spans="1:5" ht="14" x14ac:dyDescent="0.3">
      <c r="A5" s="130" t="s">
        <v>64</v>
      </c>
      <c r="B5" s="107"/>
      <c r="C5" s="107"/>
      <c r="D5" s="129"/>
      <c r="E5" s="90"/>
    </row>
    <row r="6" spans="1:5" ht="14" x14ac:dyDescent="0.3">
      <c r="A6" s="131" t="str">
        <f>'1. Employee - Personal  Data'!A5</f>
        <v xml:space="preserve"> - The assignment will not be initiated until all the information is provided</v>
      </c>
      <c r="B6" s="110"/>
      <c r="C6" s="110"/>
      <c r="D6" s="132"/>
      <c r="E6" s="90"/>
    </row>
    <row r="7" spans="1:5" ht="13" x14ac:dyDescent="0.3">
      <c r="A7" s="111" t="s">
        <v>66</v>
      </c>
      <c r="B7" s="315"/>
      <c r="C7" s="316"/>
      <c r="D7" s="317"/>
      <c r="E7" s="90"/>
    </row>
    <row r="8" spans="1:5" ht="13.5" customHeight="1" x14ac:dyDescent="0.25">
      <c r="A8" s="111" t="s">
        <v>11</v>
      </c>
      <c r="B8" s="170" t="s">
        <v>67</v>
      </c>
      <c r="C8" s="111" t="s">
        <v>68</v>
      </c>
      <c r="D8" s="170" t="s">
        <v>69</v>
      </c>
      <c r="E8" s="90"/>
    </row>
    <row r="9" spans="1:5" ht="13" x14ac:dyDescent="0.25">
      <c r="A9" s="115" t="str">
        <f>+'1. Employee - Personal  Data'!A8</f>
        <v xml:space="preserve">Please select from the drop down menu </v>
      </c>
      <c r="B9" s="115">
        <f>'1. Employee - Personal  Data'!B8</f>
        <v>0</v>
      </c>
      <c r="C9" s="115">
        <f>'1. Employee - Personal  Data'!C8</f>
        <v>0</v>
      </c>
      <c r="D9" s="115">
        <f>'1. Employee - Personal  Data'!B16:F16</f>
        <v>0</v>
      </c>
      <c r="E9" s="90"/>
    </row>
    <row r="10" spans="1:5" ht="13.5" customHeight="1" x14ac:dyDescent="0.25">
      <c r="A10" s="86"/>
      <c r="B10" s="111" t="s">
        <v>71</v>
      </c>
      <c r="C10" s="111" t="s">
        <v>72</v>
      </c>
      <c r="D10" s="111" t="s">
        <v>70</v>
      </c>
      <c r="E10" s="147"/>
    </row>
    <row r="11" spans="1:5" ht="13.5" customHeight="1" x14ac:dyDescent="0.3">
      <c r="A11" s="228"/>
      <c r="B11" s="216">
        <f>B13</f>
        <v>0</v>
      </c>
      <c r="C11" s="227">
        <f>B14</f>
        <v>0</v>
      </c>
      <c r="D11" s="232">
        <f>'1. Employee - Personal  Data'!B18:F18</f>
        <v>0</v>
      </c>
      <c r="E11" s="147"/>
    </row>
    <row r="12" spans="1:5" ht="25.15" customHeight="1" x14ac:dyDescent="0.3">
      <c r="A12" s="84" t="s">
        <v>125</v>
      </c>
      <c r="B12" s="86"/>
      <c r="C12" s="86"/>
      <c r="D12" s="86"/>
      <c r="E12" s="90"/>
    </row>
    <row r="13" spans="1:5" ht="27" customHeight="1" x14ac:dyDescent="0.25">
      <c r="A13" s="122" t="s">
        <v>26</v>
      </c>
      <c r="B13" s="313"/>
      <c r="C13" s="313"/>
      <c r="D13" s="313"/>
      <c r="E13" s="90"/>
    </row>
    <row r="14" spans="1:5" ht="27" customHeight="1" x14ac:dyDescent="0.25">
      <c r="A14" s="122" t="s">
        <v>28</v>
      </c>
      <c r="B14" s="327"/>
      <c r="C14" s="328"/>
      <c r="D14" s="329"/>
      <c r="E14" s="90"/>
    </row>
    <row r="15" spans="1:5" ht="27" customHeight="1" x14ac:dyDescent="0.25">
      <c r="A15" s="122" t="s">
        <v>126</v>
      </c>
      <c r="B15" s="330">
        <f>B14-B13+1</f>
        <v>1</v>
      </c>
      <c r="C15" s="330"/>
      <c r="D15" s="330"/>
      <c r="E15" s="90"/>
    </row>
    <row r="16" spans="1:5" ht="27.75" customHeight="1" x14ac:dyDescent="0.25">
      <c r="A16" s="122" t="s">
        <v>127</v>
      </c>
      <c r="B16" s="331"/>
      <c r="C16" s="332"/>
      <c r="D16" s="333"/>
      <c r="E16" s="90"/>
    </row>
    <row r="17" spans="1:7" ht="27" customHeight="1" x14ac:dyDescent="0.25">
      <c r="A17" s="122" t="s">
        <v>30</v>
      </c>
      <c r="B17" s="331"/>
      <c r="C17" s="332"/>
      <c r="D17" s="333"/>
      <c r="E17" s="90"/>
    </row>
    <row r="18" spans="1:7" ht="27" customHeight="1" x14ac:dyDescent="0.25">
      <c r="A18" s="122" t="s">
        <v>128</v>
      </c>
      <c r="B18" s="324"/>
      <c r="C18" s="325"/>
      <c r="D18" s="326"/>
      <c r="E18" s="90"/>
    </row>
    <row r="19" spans="1:7" ht="27" customHeight="1" x14ac:dyDescent="0.3">
      <c r="A19" s="122" t="s">
        <v>129</v>
      </c>
      <c r="B19" s="318"/>
      <c r="C19" s="319"/>
      <c r="D19" s="320"/>
      <c r="E19" s="90"/>
      <c r="G19" s="85"/>
    </row>
    <row r="20" spans="1:7" ht="27" customHeight="1" x14ac:dyDescent="0.25">
      <c r="A20" s="122" t="s">
        <v>130</v>
      </c>
      <c r="B20" s="318"/>
      <c r="C20" s="319"/>
      <c r="D20" s="320"/>
      <c r="E20" s="90"/>
    </row>
    <row r="21" spans="1:7" ht="27" customHeight="1" x14ac:dyDescent="0.25">
      <c r="A21" s="122" t="s">
        <v>131</v>
      </c>
      <c r="B21" s="321" t="s">
        <v>99</v>
      </c>
      <c r="C21" s="322"/>
      <c r="D21" s="323"/>
      <c r="E21" s="90"/>
    </row>
    <row r="22" spans="1:7" ht="27" customHeight="1" x14ac:dyDescent="0.3">
      <c r="A22" s="229" t="s">
        <v>38</v>
      </c>
      <c r="B22" s="318" t="s">
        <v>99</v>
      </c>
      <c r="C22" s="319"/>
      <c r="D22" s="320"/>
      <c r="E22" s="90"/>
      <c r="G22" s="85"/>
    </row>
    <row r="23" spans="1:7" ht="27" customHeight="1" x14ac:dyDescent="0.25">
      <c r="A23" s="230" t="s">
        <v>132</v>
      </c>
      <c r="B23" s="318" t="s">
        <v>99</v>
      </c>
      <c r="C23" s="319"/>
      <c r="D23" s="320"/>
      <c r="E23" s="90"/>
    </row>
    <row r="24" spans="1:7" ht="27" customHeight="1" x14ac:dyDescent="0.3">
      <c r="A24" s="122" t="s">
        <v>133</v>
      </c>
      <c r="B24" s="324"/>
      <c r="C24" s="325"/>
      <c r="D24" s="326"/>
      <c r="E24" s="90"/>
      <c r="G24" s="85"/>
    </row>
    <row r="25" spans="1:7" ht="27" customHeight="1" x14ac:dyDescent="0.25">
      <c r="A25" s="122" t="s">
        <v>134</v>
      </c>
      <c r="B25" s="312" t="s">
        <v>898</v>
      </c>
      <c r="C25" s="312"/>
      <c r="D25" s="312"/>
      <c r="E25" s="90"/>
    </row>
    <row r="26" spans="1:7" ht="27" customHeight="1" x14ac:dyDescent="0.25">
      <c r="A26" s="122" t="s">
        <v>135</v>
      </c>
      <c r="B26" s="311"/>
      <c r="C26" s="311"/>
      <c r="D26" s="311"/>
      <c r="E26" s="90"/>
    </row>
    <row r="27" spans="1:7" ht="27" customHeight="1" x14ac:dyDescent="0.25">
      <c r="A27" s="122" t="s">
        <v>136</v>
      </c>
      <c r="B27" s="311"/>
      <c r="C27" s="311"/>
      <c r="D27" s="311"/>
      <c r="E27" s="90"/>
    </row>
    <row r="28" spans="1:7" ht="27" customHeight="1" x14ac:dyDescent="0.25">
      <c r="A28" s="122" t="s">
        <v>137</v>
      </c>
      <c r="B28" s="311"/>
      <c r="C28" s="311"/>
      <c r="D28" s="311"/>
      <c r="E28" s="90"/>
    </row>
    <row r="29" spans="1:7" ht="10.15" customHeight="1" x14ac:dyDescent="0.3">
      <c r="A29" s="88"/>
      <c r="B29" s="86"/>
      <c r="C29" s="86"/>
      <c r="D29" s="86"/>
      <c r="E29" s="90"/>
    </row>
    <row r="30" spans="1:7" ht="24.75" customHeight="1" x14ac:dyDescent="0.25">
      <c r="A30" s="122" t="s">
        <v>138</v>
      </c>
      <c r="B30" s="312" t="s">
        <v>99</v>
      </c>
      <c r="C30" s="312"/>
      <c r="D30" s="312"/>
      <c r="E30" s="90"/>
    </row>
    <row r="31" spans="1:7" ht="27" customHeight="1" x14ac:dyDescent="0.25">
      <c r="A31" s="122" t="s">
        <v>34</v>
      </c>
      <c r="B31" s="313"/>
      <c r="C31" s="313"/>
      <c r="D31" s="313"/>
      <c r="E31" s="90"/>
    </row>
    <row r="32" spans="1:7" ht="27" customHeight="1" x14ac:dyDescent="0.25">
      <c r="A32" s="122" t="s">
        <v>139</v>
      </c>
      <c r="B32" s="314"/>
      <c r="C32" s="314"/>
      <c r="D32" s="314"/>
      <c r="E32" s="90"/>
    </row>
    <row r="33" spans="1:5" ht="94.5" customHeight="1" x14ac:dyDescent="0.25">
      <c r="A33" s="122" t="s">
        <v>140</v>
      </c>
      <c r="B33" s="313"/>
      <c r="C33" s="313"/>
      <c r="D33" s="313"/>
      <c r="E33" s="90"/>
    </row>
    <row r="34" spans="1:5" ht="10.15" customHeight="1" x14ac:dyDescent="0.3">
      <c r="A34" s="88"/>
      <c r="B34" s="86"/>
      <c r="C34" s="86"/>
      <c r="D34" s="86"/>
      <c r="E34" s="90"/>
    </row>
    <row r="35" spans="1:5" ht="30.75" customHeight="1" x14ac:dyDescent="0.3">
      <c r="A35" s="88"/>
      <c r="B35" s="173" t="s">
        <v>141</v>
      </c>
      <c r="C35" s="173" t="s">
        <v>142</v>
      </c>
      <c r="D35" s="173" t="s">
        <v>143</v>
      </c>
      <c r="E35" s="90"/>
    </row>
    <row r="36" spans="1:5" ht="27" customHeight="1" x14ac:dyDescent="0.25">
      <c r="A36" s="122" t="s">
        <v>144</v>
      </c>
      <c r="B36" s="169"/>
      <c r="C36" s="169"/>
      <c r="D36" s="24"/>
      <c r="E36" s="90"/>
    </row>
    <row r="37" spans="1:5" ht="27" customHeight="1" x14ac:dyDescent="0.25">
      <c r="A37" s="122" t="s">
        <v>145</v>
      </c>
      <c r="B37" s="153"/>
      <c r="C37" s="153"/>
      <c r="D37" s="24"/>
      <c r="E37" s="90"/>
    </row>
    <row r="38" spans="1:5" ht="27" customHeight="1" x14ac:dyDescent="0.25">
      <c r="A38" s="122" t="s">
        <v>146</v>
      </c>
      <c r="B38" s="153"/>
      <c r="C38" s="153"/>
      <c r="D38" s="24"/>
      <c r="E38" s="90"/>
    </row>
    <row r="39" spans="1:5" ht="31.5" customHeight="1" x14ac:dyDescent="0.25">
      <c r="A39" s="231" t="s">
        <v>147</v>
      </c>
      <c r="B39" s="312"/>
      <c r="C39" s="312"/>
      <c r="D39" s="312"/>
      <c r="E39" s="90"/>
    </row>
    <row r="40" spans="1:5" ht="27" customHeight="1" x14ac:dyDescent="0.25">
      <c r="A40" s="122" t="s">
        <v>148</v>
      </c>
      <c r="B40" s="292"/>
      <c r="C40" s="292"/>
      <c r="D40" s="292"/>
      <c r="E40" s="90"/>
    </row>
    <row r="41" spans="1:5" ht="27" customHeight="1" x14ac:dyDescent="0.25">
      <c r="A41" s="122" t="s">
        <v>149</v>
      </c>
      <c r="B41" s="276" t="s">
        <v>99</v>
      </c>
      <c r="C41" s="276"/>
      <c r="D41" s="276"/>
      <c r="E41" s="90"/>
    </row>
    <row r="42" spans="1:5" ht="27" customHeight="1" x14ac:dyDescent="0.25">
      <c r="A42" s="122" t="s">
        <v>150</v>
      </c>
      <c r="B42" s="313"/>
      <c r="C42" s="313"/>
      <c r="D42" s="313"/>
      <c r="E42" s="90"/>
    </row>
    <row r="43" spans="1:5" ht="10.15" customHeight="1" x14ac:dyDescent="0.3">
      <c r="A43" s="88"/>
      <c r="B43" s="86"/>
      <c r="C43" s="86"/>
      <c r="D43" s="86"/>
      <c r="E43" s="90"/>
    </row>
    <row r="44" spans="1:5" ht="27" customHeight="1" x14ac:dyDescent="0.25">
      <c r="A44" s="122" t="s">
        <v>117</v>
      </c>
      <c r="B44" s="334"/>
      <c r="C44" s="334"/>
      <c r="D44" s="334"/>
      <c r="E44" s="90"/>
    </row>
    <row r="45" spans="1:5" ht="10.15" customHeight="1" x14ac:dyDescent="0.3">
      <c r="A45" s="88"/>
      <c r="B45" s="86"/>
      <c r="C45" s="86"/>
      <c r="D45" s="86"/>
      <c r="E45" s="90"/>
    </row>
    <row r="46" spans="1:5" ht="15.5" x14ac:dyDescent="0.35">
      <c r="A46" s="133" t="s">
        <v>151</v>
      </c>
      <c r="B46" s="86"/>
      <c r="C46" s="86"/>
      <c r="D46" s="86"/>
      <c r="E46" s="90"/>
    </row>
    <row r="47" spans="1:5" ht="27" customHeight="1" x14ac:dyDescent="0.25">
      <c r="A47" s="122" t="s">
        <v>152</v>
      </c>
      <c r="B47" s="276" t="s">
        <v>153</v>
      </c>
      <c r="C47" s="276"/>
      <c r="D47" s="276"/>
      <c r="E47" s="90"/>
    </row>
    <row r="48" spans="1:5" ht="27" customHeight="1" x14ac:dyDescent="0.25">
      <c r="A48" s="122" t="s">
        <v>50</v>
      </c>
      <c r="B48" s="276"/>
      <c r="C48" s="276"/>
      <c r="D48" s="276"/>
      <c r="E48" s="90"/>
    </row>
    <row r="49" spans="1:5" ht="27" customHeight="1" x14ac:dyDescent="0.25">
      <c r="A49" s="122" t="s">
        <v>154</v>
      </c>
      <c r="B49" s="276" t="s">
        <v>155</v>
      </c>
      <c r="C49" s="276"/>
      <c r="D49" s="276"/>
      <c r="E49" s="90"/>
    </row>
    <row r="50" spans="1:5" ht="27" customHeight="1" x14ac:dyDescent="0.25">
      <c r="A50" s="122" t="s">
        <v>46</v>
      </c>
      <c r="B50" s="313"/>
      <c r="C50" s="313"/>
      <c r="D50" s="313"/>
      <c r="E50" s="90"/>
    </row>
    <row r="51" spans="1:5" ht="42.75" customHeight="1" x14ac:dyDescent="0.25">
      <c r="A51" s="122" t="s">
        <v>48</v>
      </c>
      <c r="B51" s="313"/>
      <c r="C51" s="313"/>
      <c r="D51" s="313"/>
      <c r="E51" s="90"/>
    </row>
    <row r="52" spans="1:5" ht="42.75" customHeight="1" x14ac:dyDescent="0.25">
      <c r="A52" s="122" t="s">
        <v>156</v>
      </c>
      <c r="B52" s="314"/>
      <c r="C52" s="314"/>
      <c r="D52" s="314"/>
      <c r="E52" s="90"/>
    </row>
    <row r="53" spans="1:5" ht="30" customHeight="1" x14ac:dyDescent="0.25">
      <c r="A53" s="122" t="s">
        <v>157</v>
      </c>
      <c r="B53" s="313"/>
      <c r="C53" s="313"/>
      <c r="D53" s="313"/>
      <c r="E53" s="90"/>
    </row>
    <row r="54" spans="1:5" s="92" customFormat="1" ht="27" customHeight="1" x14ac:dyDescent="0.25">
      <c r="A54" s="122" t="s">
        <v>158</v>
      </c>
      <c r="B54" s="292"/>
      <c r="C54" s="292"/>
      <c r="D54" s="292"/>
      <c r="E54" s="91"/>
    </row>
    <row r="55" spans="1:5" s="92" customFormat="1" ht="27" customHeight="1" x14ac:dyDescent="0.25">
      <c r="A55" s="122" t="s">
        <v>159</v>
      </c>
      <c r="B55" s="184"/>
      <c r="C55" s="184"/>
      <c r="D55" s="168"/>
      <c r="E55" s="91"/>
    </row>
    <row r="56" spans="1:5" ht="27" customHeight="1" x14ac:dyDescent="0.25">
      <c r="A56" s="122" t="s">
        <v>160</v>
      </c>
      <c r="B56" s="276" t="s">
        <v>76</v>
      </c>
      <c r="C56" s="276"/>
      <c r="D56" s="276"/>
      <c r="E56" s="90"/>
    </row>
    <row r="57" spans="1:5" ht="27" customHeight="1" x14ac:dyDescent="0.25">
      <c r="A57" s="122" t="s">
        <v>161</v>
      </c>
      <c r="B57" s="276" t="s">
        <v>76</v>
      </c>
      <c r="C57" s="276"/>
      <c r="D57" s="276"/>
      <c r="E57" s="90"/>
    </row>
    <row r="58" spans="1:5" ht="27" customHeight="1" x14ac:dyDescent="0.25">
      <c r="A58" s="122" t="s">
        <v>162</v>
      </c>
      <c r="B58" s="311"/>
      <c r="C58" s="311"/>
      <c r="D58" s="311"/>
      <c r="E58" s="90"/>
    </row>
    <row r="59" spans="1:5" ht="27" customHeight="1" x14ac:dyDescent="0.25">
      <c r="A59" s="174" t="s">
        <v>163</v>
      </c>
      <c r="B59" s="311"/>
      <c r="C59" s="311"/>
      <c r="D59" s="311"/>
      <c r="E59" s="90"/>
    </row>
    <row r="60" spans="1:5" ht="27" customHeight="1" x14ac:dyDescent="0.25">
      <c r="A60" s="175"/>
      <c r="B60" s="177" t="s">
        <v>141</v>
      </c>
      <c r="C60" s="177" t="s">
        <v>164</v>
      </c>
      <c r="D60" s="177" t="s">
        <v>143</v>
      </c>
      <c r="E60" s="90"/>
    </row>
    <row r="61" spans="1:5" ht="27" customHeight="1" x14ac:dyDescent="0.25">
      <c r="A61" s="122" t="s">
        <v>165</v>
      </c>
      <c r="B61" s="176"/>
      <c r="C61" s="176"/>
      <c r="D61" s="176"/>
      <c r="E61" s="90"/>
    </row>
    <row r="62" spans="1:5" ht="27" customHeight="1" x14ac:dyDescent="0.25">
      <c r="A62" s="122" t="s">
        <v>166</v>
      </c>
      <c r="B62" s="176"/>
      <c r="C62" s="176"/>
      <c r="D62" s="176"/>
      <c r="E62" s="90"/>
    </row>
    <row r="63" spans="1:5" ht="10.15" customHeight="1" x14ac:dyDescent="0.25">
      <c r="A63" s="86"/>
      <c r="B63" s="86"/>
      <c r="C63" s="86"/>
      <c r="D63" s="86"/>
      <c r="E63" s="90"/>
    </row>
    <row r="64" spans="1:5" ht="27" customHeight="1" x14ac:dyDescent="0.25">
      <c r="A64" s="122" t="s">
        <v>117</v>
      </c>
      <c r="B64" s="339"/>
      <c r="C64" s="340"/>
      <c r="D64" s="86"/>
      <c r="E64" s="90"/>
    </row>
    <row r="65" spans="1:5" ht="9.65" customHeight="1" x14ac:dyDescent="0.25">
      <c r="A65" s="86"/>
      <c r="B65" s="86"/>
      <c r="C65" s="86"/>
      <c r="D65" s="86"/>
      <c r="E65" s="90"/>
    </row>
    <row r="66" spans="1:5" ht="10.15" customHeight="1" x14ac:dyDescent="0.3">
      <c r="A66" s="88"/>
      <c r="B66" s="86"/>
      <c r="C66" s="86"/>
      <c r="D66" s="86"/>
      <c r="E66" s="90"/>
    </row>
    <row r="67" spans="1:5" ht="13.5" thickBot="1" x14ac:dyDescent="0.35">
      <c r="A67" s="100" t="s">
        <v>167</v>
      </c>
      <c r="B67" s="86"/>
      <c r="C67" s="86"/>
      <c r="D67" s="86"/>
      <c r="E67" s="90"/>
    </row>
    <row r="68" spans="1:5" ht="27" customHeight="1" thickTop="1" thickBot="1" x14ac:dyDescent="0.3">
      <c r="A68" s="134" t="s">
        <v>168</v>
      </c>
      <c r="B68" s="337"/>
      <c r="C68" s="338"/>
      <c r="D68" s="93"/>
      <c r="E68" s="94"/>
    </row>
    <row r="69" spans="1:5" ht="13.5" thickTop="1" x14ac:dyDescent="0.3">
      <c r="A69" s="88"/>
      <c r="B69" s="86"/>
      <c r="C69" s="86"/>
      <c r="D69" s="86"/>
      <c r="E69" s="90"/>
    </row>
    <row r="70" spans="1:5" ht="15.5" x14ac:dyDescent="0.35">
      <c r="A70" s="335"/>
      <c r="B70" s="335"/>
      <c r="C70" s="335"/>
      <c r="D70" s="335"/>
      <c r="E70" s="336"/>
    </row>
    <row r="71" spans="1:5" ht="15.5" x14ac:dyDescent="0.35">
      <c r="A71" s="335"/>
      <c r="B71" s="335"/>
      <c r="C71" s="335"/>
      <c r="D71" s="335"/>
      <c r="E71" s="336"/>
    </row>
    <row r="72" spans="1:5" ht="14" x14ac:dyDescent="0.25">
      <c r="A72" s="217" t="s">
        <v>169</v>
      </c>
      <c r="B72" s="86"/>
      <c r="C72" s="86"/>
      <c r="D72" s="86"/>
    </row>
    <row r="73" spans="1:5" ht="22.5" customHeight="1" x14ac:dyDescent="0.25">
      <c r="A73" s="213" t="s">
        <v>170</v>
      </c>
      <c r="B73" s="304"/>
      <c r="C73" s="305"/>
      <c r="D73" s="86"/>
      <c r="E73" s="86"/>
    </row>
    <row r="74" spans="1:5" ht="51" customHeight="1" x14ac:dyDescent="0.25">
      <c r="A74" s="306" t="s">
        <v>171</v>
      </c>
      <c r="B74" s="306"/>
      <c r="C74" s="306"/>
      <c r="D74" s="86"/>
      <c r="E74" s="86"/>
    </row>
    <row r="75" spans="1:5" ht="38.25" customHeight="1" x14ac:dyDescent="0.25">
      <c r="A75" s="307" t="s">
        <v>99</v>
      </c>
      <c r="B75" s="307"/>
      <c r="C75" s="307"/>
      <c r="D75" s="86"/>
      <c r="E75" s="86"/>
    </row>
    <row r="76" spans="1:5" ht="29.25" customHeight="1" x14ac:dyDescent="0.25">
      <c r="A76" s="308" t="s">
        <v>172</v>
      </c>
      <c r="B76" s="308"/>
      <c r="C76" s="308"/>
      <c r="D76" s="86"/>
      <c r="E76" s="86"/>
    </row>
    <row r="77" spans="1:5" ht="100.5" customHeight="1" x14ac:dyDescent="0.25">
      <c r="A77" s="306"/>
      <c r="B77" s="306"/>
      <c r="C77" s="306"/>
      <c r="D77" s="86"/>
      <c r="E77" s="86"/>
    </row>
    <row r="78" spans="1:5" ht="51" customHeight="1" x14ac:dyDescent="0.25">
      <c r="A78" s="306" t="s">
        <v>173</v>
      </c>
      <c r="B78" s="306"/>
      <c r="C78" s="309"/>
      <c r="D78" s="86"/>
      <c r="E78" s="86"/>
    </row>
    <row r="79" spans="1:5" ht="36.75" customHeight="1" x14ac:dyDescent="0.25">
      <c r="A79" s="307" t="s">
        <v>99</v>
      </c>
      <c r="B79" s="307"/>
      <c r="C79" s="310"/>
      <c r="D79" s="86"/>
      <c r="E79" s="86"/>
    </row>
    <row r="80" spans="1:5" ht="51.75" customHeight="1" x14ac:dyDescent="0.25">
      <c r="A80" s="306" t="s">
        <v>174</v>
      </c>
      <c r="B80" s="306"/>
      <c r="C80" s="309"/>
      <c r="D80" s="86"/>
      <c r="E80" s="86"/>
    </row>
    <row r="81" spans="1:5" ht="56.25" customHeight="1" x14ac:dyDescent="0.25">
      <c r="A81" s="307" t="s">
        <v>99</v>
      </c>
      <c r="B81" s="307"/>
      <c r="C81" s="310"/>
      <c r="D81" s="86"/>
      <c r="E81" s="86"/>
    </row>
    <row r="82" spans="1:5" x14ac:dyDescent="0.25">
      <c r="A82" s="86"/>
      <c r="B82" s="86"/>
      <c r="C82" s="86"/>
      <c r="D82" s="86"/>
      <c r="E82" s="86"/>
    </row>
    <row r="83" spans="1:5" x14ac:dyDescent="0.25">
      <c r="A83" s="7"/>
      <c r="B83" s="7"/>
      <c r="C83" s="7"/>
      <c r="D83" s="7"/>
      <c r="E83" s="7"/>
    </row>
    <row r="84" spans="1:5" x14ac:dyDescent="0.25">
      <c r="A84" s="7"/>
      <c r="B84" s="7"/>
      <c r="C84" s="7"/>
      <c r="D84" s="7"/>
      <c r="E84" s="7"/>
    </row>
    <row r="85" spans="1:5" x14ac:dyDescent="0.25">
      <c r="A85" s="7"/>
      <c r="B85" s="7"/>
      <c r="C85" s="7"/>
      <c r="D85" s="7"/>
      <c r="E85" s="7"/>
    </row>
    <row r="86" spans="1:5" x14ac:dyDescent="0.25">
      <c r="A86" s="7"/>
      <c r="B86" s="7"/>
      <c r="C86" s="7"/>
      <c r="D86" s="7"/>
      <c r="E86" s="7"/>
    </row>
    <row r="87" spans="1:5" x14ac:dyDescent="0.25">
      <c r="A87" s="7"/>
      <c r="B87" s="7"/>
      <c r="C87" s="7"/>
      <c r="D87" s="7"/>
      <c r="E87" s="7"/>
    </row>
    <row r="88" spans="1:5" x14ac:dyDescent="0.25">
      <c r="A88" s="7"/>
      <c r="B88" s="7"/>
      <c r="C88" s="7"/>
      <c r="D88" s="7"/>
      <c r="E88" s="7"/>
    </row>
    <row r="89" spans="1:5" x14ac:dyDescent="0.25">
      <c r="A89" s="7"/>
      <c r="B89" s="7"/>
      <c r="C89" s="7"/>
      <c r="D89" s="7"/>
      <c r="E89" s="7"/>
    </row>
    <row r="90" spans="1:5" x14ac:dyDescent="0.25">
      <c r="A90" s="7"/>
      <c r="B90" s="7"/>
      <c r="C90" s="7"/>
      <c r="D90" s="7"/>
      <c r="E90" s="7"/>
    </row>
    <row r="91" spans="1:5" x14ac:dyDescent="0.25">
      <c r="A91" s="7"/>
      <c r="B91" s="7"/>
      <c r="C91" s="7"/>
      <c r="D91" s="7"/>
      <c r="E91" s="7"/>
    </row>
    <row r="92" spans="1:5" x14ac:dyDescent="0.25">
      <c r="A92" s="7"/>
      <c r="B92" s="7"/>
      <c r="C92" s="7"/>
      <c r="D92" s="7"/>
      <c r="E92" s="7"/>
    </row>
    <row r="93" spans="1:5" x14ac:dyDescent="0.25">
      <c r="A93" s="7"/>
      <c r="B93" s="7"/>
      <c r="C93" s="7"/>
      <c r="D93" s="7"/>
      <c r="E93" s="7"/>
    </row>
    <row r="94" spans="1:5" x14ac:dyDescent="0.25">
      <c r="A94" s="7"/>
      <c r="B94" s="7"/>
      <c r="C94" s="7"/>
      <c r="D94" s="7"/>
      <c r="E94" s="7"/>
    </row>
    <row r="95" spans="1:5" x14ac:dyDescent="0.25">
      <c r="A95" s="7"/>
      <c r="B95" s="7"/>
      <c r="C95" s="7"/>
      <c r="D95" s="7"/>
      <c r="E95" s="7"/>
    </row>
    <row r="96" spans="1:5" x14ac:dyDescent="0.25">
      <c r="A96" s="7"/>
      <c r="B96" s="7"/>
      <c r="C96" s="7"/>
      <c r="D96" s="7"/>
      <c r="E96" s="7"/>
    </row>
    <row r="97" s="7" customFormat="1" x14ac:dyDescent="0.25"/>
    <row r="98" s="7" customFormat="1" x14ac:dyDescent="0.25"/>
    <row r="99" s="7" customFormat="1" x14ac:dyDescent="0.25"/>
    <row r="100" s="7" customFormat="1" x14ac:dyDescent="0.25"/>
    <row r="101" s="7" customFormat="1" x14ac:dyDescent="0.25"/>
    <row r="102" s="7" customFormat="1" x14ac:dyDescent="0.25"/>
    <row r="103" s="7" customFormat="1" x14ac:dyDescent="0.25"/>
    <row r="104" s="7" customFormat="1" x14ac:dyDescent="0.25"/>
    <row r="105" s="7" customFormat="1" x14ac:dyDescent="0.25"/>
    <row r="106" s="7" customFormat="1" x14ac:dyDescent="0.25"/>
    <row r="107" s="7" customFormat="1" x14ac:dyDescent="0.25"/>
    <row r="108" s="7" customFormat="1" x14ac:dyDescent="0.25"/>
    <row r="109" s="7" customFormat="1" x14ac:dyDescent="0.25"/>
    <row r="110" s="7" customFormat="1" x14ac:dyDescent="0.25"/>
    <row r="111" s="7" customFormat="1" x14ac:dyDescent="0.25"/>
    <row r="112" s="7" customFormat="1" x14ac:dyDescent="0.25"/>
    <row r="113" s="7" customFormat="1" x14ac:dyDescent="0.25"/>
    <row r="114" s="7" customFormat="1" x14ac:dyDescent="0.25"/>
    <row r="115" s="7" customFormat="1" x14ac:dyDescent="0.25"/>
    <row r="116" s="7" customFormat="1" x14ac:dyDescent="0.25"/>
    <row r="117" s="7" customFormat="1" x14ac:dyDescent="0.25"/>
    <row r="118" s="7" customFormat="1" x14ac:dyDescent="0.25"/>
    <row r="119" s="7" customFormat="1" x14ac:dyDescent="0.25"/>
    <row r="120" s="7" customFormat="1" x14ac:dyDescent="0.25"/>
    <row r="121" s="7" customFormat="1" x14ac:dyDescent="0.25"/>
    <row r="122" s="7" customFormat="1" x14ac:dyDescent="0.25"/>
    <row r="123" s="7" customFormat="1" x14ac:dyDescent="0.25"/>
    <row r="124" s="7" customFormat="1" x14ac:dyDescent="0.25"/>
    <row r="125" s="7" customFormat="1" x14ac:dyDescent="0.25"/>
    <row r="126" s="7" customFormat="1" x14ac:dyDescent="0.25"/>
    <row r="127" s="7" customFormat="1" x14ac:dyDescent="0.25"/>
    <row r="128" s="7" customFormat="1" x14ac:dyDescent="0.25"/>
    <row r="129" s="7" customFormat="1" x14ac:dyDescent="0.25"/>
    <row r="130" s="7" customFormat="1" x14ac:dyDescent="0.25"/>
    <row r="131" s="7" customFormat="1" x14ac:dyDescent="0.25"/>
    <row r="132" s="7" customFormat="1" x14ac:dyDescent="0.25"/>
    <row r="133" s="7" customFormat="1" x14ac:dyDescent="0.25"/>
    <row r="134" s="7" customFormat="1" x14ac:dyDescent="0.25"/>
    <row r="135" s="7" customFormat="1" x14ac:dyDescent="0.25"/>
    <row r="136" s="7" customFormat="1" x14ac:dyDescent="0.25"/>
    <row r="137" s="7" customFormat="1" x14ac:dyDescent="0.25"/>
    <row r="138" s="7" customFormat="1" x14ac:dyDescent="0.25"/>
    <row r="139" s="7" customFormat="1" x14ac:dyDescent="0.25"/>
    <row r="140" s="7" customFormat="1" x14ac:dyDescent="0.25"/>
    <row r="141" s="7" customFormat="1" x14ac:dyDescent="0.25"/>
    <row r="142" s="7" customFormat="1" x14ac:dyDescent="0.25"/>
    <row r="143" s="7" customFormat="1" x14ac:dyDescent="0.25"/>
    <row r="144" s="7" customFormat="1" x14ac:dyDescent="0.25"/>
    <row r="145" s="7" customFormat="1" x14ac:dyDescent="0.25"/>
    <row r="146" s="7" customFormat="1" x14ac:dyDescent="0.25"/>
    <row r="147" s="7" customFormat="1" x14ac:dyDescent="0.25"/>
    <row r="148" s="7" customFormat="1" x14ac:dyDescent="0.25"/>
    <row r="149" s="7" customFormat="1" x14ac:dyDescent="0.25"/>
    <row r="150" s="7" customFormat="1" x14ac:dyDescent="0.25"/>
    <row r="151" s="7" customFormat="1" x14ac:dyDescent="0.25"/>
    <row r="152" s="7" customFormat="1" x14ac:dyDescent="0.25"/>
    <row r="153" s="7" customFormat="1" x14ac:dyDescent="0.25"/>
    <row r="154" s="7" customFormat="1" x14ac:dyDescent="0.25"/>
    <row r="155" s="7" customFormat="1" x14ac:dyDescent="0.25"/>
    <row r="156" s="7" customFormat="1" x14ac:dyDescent="0.25"/>
    <row r="157" s="7" customFormat="1" x14ac:dyDescent="0.25"/>
    <row r="158" s="7" customFormat="1" x14ac:dyDescent="0.25"/>
    <row r="159" s="7" customFormat="1" x14ac:dyDescent="0.25"/>
    <row r="160"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7" customFormat="1" x14ac:dyDescent="0.25"/>
    <row r="194" s="7" customFormat="1" x14ac:dyDescent="0.25"/>
    <row r="195" s="7" customFormat="1" x14ac:dyDescent="0.25"/>
    <row r="196" s="7" customFormat="1" x14ac:dyDescent="0.25"/>
    <row r="197" s="7" customFormat="1" x14ac:dyDescent="0.25"/>
    <row r="198" s="7" customFormat="1" x14ac:dyDescent="0.25"/>
    <row r="199" s="7" customFormat="1" x14ac:dyDescent="0.25"/>
    <row r="200" s="7" customFormat="1" x14ac:dyDescent="0.25"/>
    <row r="201" s="7" customFormat="1" x14ac:dyDescent="0.25"/>
    <row r="202" s="7" customFormat="1" x14ac:dyDescent="0.25"/>
    <row r="203" s="7" customFormat="1" x14ac:dyDescent="0.25"/>
    <row r="204" s="7" customFormat="1" x14ac:dyDescent="0.25"/>
    <row r="205" s="7" customFormat="1" x14ac:dyDescent="0.25"/>
    <row r="206" s="7" customFormat="1" x14ac:dyDescent="0.25"/>
    <row r="207" s="7" customFormat="1" x14ac:dyDescent="0.25"/>
    <row r="208" s="7" customFormat="1" x14ac:dyDescent="0.25"/>
    <row r="209" s="7" customFormat="1" x14ac:dyDescent="0.25"/>
    <row r="210" s="7" customFormat="1" x14ac:dyDescent="0.25"/>
    <row r="211" s="7" customFormat="1" x14ac:dyDescent="0.25"/>
    <row r="212" s="7" customFormat="1" x14ac:dyDescent="0.25"/>
    <row r="213" s="7" customFormat="1" x14ac:dyDescent="0.25"/>
    <row r="214" s="7" customFormat="1" x14ac:dyDescent="0.25"/>
    <row r="215" s="7" customFormat="1" x14ac:dyDescent="0.25"/>
    <row r="216" s="7" customFormat="1" x14ac:dyDescent="0.25"/>
    <row r="217" s="7" customFormat="1" x14ac:dyDescent="0.25"/>
    <row r="218" s="7" customFormat="1" x14ac:dyDescent="0.25"/>
    <row r="219" s="7" customFormat="1" x14ac:dyDescent="0.25"/>
    <row r="220" s="7" customFormat="1" x14ac:dyDescent="0.25"/>
    <row r="221" s="7" customFormat="1" x14ac:dyDescent="0.25"/>
    <row r="222" s="7" customFormat="1" x14ac:dyDescent="0.25"/>
    <row r="223" s="7" customFormat="1" x14ac:dyDescent="0.25"/>
    <row r="224" s="7" customFormat="1" x14ac:dyDescent="0.25"/>
    <row r="225" s="7" customFormat="1" x14ac:dyDescent="0.25"/>
    <row r="226" s="7" customFormat="1" x14ac:dyDescent="0.25"/>
    <row r="227" s="7" customFormat="1" x14ac:dyDescent="0.25"/>
    <row r="228" s="7" customFormat="1" x14ac:dyDescent="0.25"/>
    <row r="229" s="7" customFormat="1" x14ac:dyDescent="0.25"/>
    <row r="230" s="7" customFormat="1" x14ac:dyDescent="0.25"/>
    <row r="231" s="7" customFormat="1" x14ac:dyDescent="0.25"/>
    <row r="232" s="7" customFormat="1" x14ac:dyDescent="0.25"/>
    <row r="233" s="7" customFormat="1" x14ac:dyDescent="0.25"/>
    <row r="234" s="7" customFormat="1" x14ac:dyDescent="0.25"/>
    <row r="235" s="7" customFormat="1" x14ac:dyDescent="0.25"/>
    <row r="236" s="7" customFormat="1" x14ac:dyDescent="0.25"/>
    <row r="237" s="7" customFormat="1" x14ac:dyDescent="0.25"/>
    <row r="238" s="7" customFormat="1" x14ac:dyDescent="0.25"/>
    <row r="239" s="7" customFormat="1" x14ac:dyDescent="0.25"/>
    <row r="240" s="7" customFormat="1" x14ac:dyDescent="0.25"/>
    <row r="241" s="7" customFormat="1" x14ac:dyDescent="0.25"/>
    <row r="242" s="7" customFormat="1" x14ac:dyDescent="0.25"/>
    <row r="243" s="7" customFormat="1" x14ac:dyDescent="0.25"/>
    <row r="244" s="7" customFormat="1" x14ac:dyDescent="0.25"/>
    <row r="245" s="7" customFormat="1" x14ac:dyDescent="0.25"/>
    <row r="246" s="7" customFormat="1" x14ac:dyDescent="0.25"/>
    <row r="247" s="7" customFormat="1" x14ac:dyDescent="0.25"/>
    <row r="248" s="7" customFormat="1" x14ac:dyDescent="0.25"/>
    <row r="249" s="7" customFormat="1" x14ac:dyDescent="0.25"/>
    <row r="250" s="7" customFormat="1" x14ac:dyDescent="0.25"/>
    <row r="251" s="7" customFormat="1" x14ac:dyDescent="0.25"/>
    <row r="252" s="7" customFormat="1" x14ac:dyDescent="0.25"/>
    <row r="253" s="7" customFormat="1" x14ac:dyDescent="0.25"/>
    <row r="254" s="7" customFormat="1" x14ac:dyDescent="0.25"/>
    <row r="255" s="7" customFormat="1" x14ac:dyDescent="0.25"/>
    <row r="256" s="7" customFormat="1" x14ac:dyDescent="0.25"/>
    <row r="257" s="7" customFormat="1" x14ac:dyDescent="0.25"/>
    <row r="258" s="7" customFormat="1" x14ac:dyDescent="0.25"/>
    <row r="259" s="7" customFormat="1" x14ac:dyDescent="0.25"/>
    <row r="260" s="7" customFormat="1" x14ac:dyDescent="0.25"/>
    <row r="261" s="7" customFormat="1" x14ac:dyDescent="0.25"/>
    <row r="262" s="7" customFormat="1" x14ac:dyDescent="0.25"/>
    <row r="263" s="7" customFormat="1" x14ac:dyDescent="0.25"/>
    <row r="264" s="7" customFormat="1" x14ac:dyDescent="0.25"/>
    <row r="265" s="7" customFormat="1" x14ac:dyDescent="0.25"/>
    <row r="266" s="7" customFormat="1" x14ac:dyDescent="0.25"/>
    <row r="267" s="7" customFormat="1" x14ac:dyDescent="0.25"/>
    <row r="268" s="7" customFormat="1" x14ac:dyDescent="0.25"/>
    <row r="269" s="7" customFormat="1" x14ac:dyDescent="0.25"/>
    <row r="270" s="7" customFormat="1" x14ac:dyDescent="0.25"/>
    <row r="271" s="7" customFormat="1" x14ac:dyDescent="0.25"/>
    <row r="272" s="7" customFormat="1" x14ac:dyDescent="0.25"/>
    <row r="273" s="7" customFormat="1" x14ac:dyDescent="0.25"/>
    <row r="274" s="7" customFormat="1" x14ac:dyDescent="0.25"/>
    <row r="275" s="7" customFormat="1" x14ac:dyDescent="0.25"/>
    <row r="276" s="7" customFormat="1" x14ac:dyDescent="0.25"/>
    <row r="277" s="7" customFormat="1" x14ac:dyDescent="0.25"/>
    <row r="278" s="7" customFormat="1" x14ac:dyDescent="0.25"/>
    <row r="279" s="7" customFormat="1" x14ac:dyDescent="0.25"/>
    <row r="280" s="7" customFormat="1" x14ac:dyDescent="0.25"/>
    <row r="281" s="7" customFormat="1" x14ac:dyDescent="0.25"/>
    <row r="282" s="7" customFormat="1" x14ac:dyDescent="0.25"/>
    <row r="283" s="7" customFormat="1" x14ac:dyDescent="0.25"/>
    <row r="284" s="7" customFormat="1" x14ac:dyDescent="0.25"/>
    <row r="285" s="7" customFormat="1" x14ac:dyDescent="0.25"/>
    <row r="286" s="7" customFormat="1" x14ac:dyDescent="0.25"/>
    <row r="287" s="7" customFormat="1" x14ac:dyDescent="0.25"/>
    <row r="288" s="7" customFormat="1" x14ac:dyDescent="0.25"/>
    <row r="289" s="7" customFormat="1" x14ac:dyDescent="0.25"/>
    <row r="290" s="7" customFormat="1" x14ac:dyDescent="0.25"/>
    <row r="291" s="7" customFormat="1" x14ac:dyDescent="0.25"/>
    <row r="292" s="7" customFormat="1" x14ac:dyDescent="0.25"/>
    <row r="293" s="7" customFormat="1" x14ac:dyDescent="0.25"/>
    <row r="294" s="7" customFormat="1" x14ac:dyDescent="0.25"/>
    <row r="295" s="7" customFormat="1" x14ac:dyDescent="0.25"/>
    <row r="296" s="7" customFormat="1" x14ac:dyDescent="0.25"/>
    <row r="297" s="7" customFormat="1" x14ac:dyDescent="0.25"/>
    <row r="298" s="7" customFormat="1" x14ac:dyDescent="0.25"/>
    <row r="299" s="7" customFormat="1" x14ac:dyDescent="0.25"/>
    <row r="300" s="7" customFormat="1" x14ac:dyDescent="0.25"/>
    <row r="301" s="7" customFormat="1" x14ac:dyDescent="0.25"/>
    <row r="302" s="7" customFormat="1" x14ac:dyDescent="0.25"/>
    <row r="303" s="7" customFormat="1" x14ac:dyDescent="0.25"/>
    <row r="304" s="7" customFormat="1" x14ac:dyDescent="0.25"/>
    <row r="305" s="7" customFormat="1" x14ac:dyDescent="0.25"/>
    <row r="306" s="7" customFormat="1" x14ac:dyDescent="0.25"/>
    <row r="307" s="7" customFormat="1" x14ac:dyDescent="0.25"/>
    <row r="308" s="7" customFormat="1" x14ac:dyDescent="0.25"/>
    <row r="309" s="7" customFormat="1" x14ac:dyDescent="0.25"/>
    <row r="310" s="7" customFormat="1" x14ac:dyDescent="0.25"/>
    <row r="311" s="7" customFormat="1" x14ac:dyDescent="0.25"/>
    <row r="312" s="7" customFormat="1" x14ac:dyDescent="0.25"/>
    <row r="313" s="7" customFormat="1" x14ac:dyDescent="0.25"/>
    <row r="314" s="7" customFormat="1" x14ac:dyDescent="0.25"/>
    <row r="315" s="7" customFormat="1" x14ac:dyDescent="0.25"/>
    <row r="316" s="7" customFormat="1" x14ac:dyDescent="0.25"/>
    <row r="317" s="7" customFormat="1" x14ac:dyDescent="0.25"/>
    <row r="318" s="7" customFormat="1" x14ac:dyDescent="0.25"/>
    <row r="319" s="7" customFormat="1" x14ac:dyDescent="0.25"/>
    <row r="320" s="7" customFormat="1" x14ac:dyDescent="0.25"/>
    <row r="321" s="7" customFormat="1" x14ac:dyDescent="0.25"/>
    <row r="322" s="7" customFormat="1" x14ac:dyDescent="0.25"/>
    <row r="323" s="7" customFormat="1" x14ac:dyDescent="0.25"/>
    <row r="324" s="7" customFormat="1" x14ac:dyDescent="0.25"/>
    <row r="325" s="7" customFormat="1" x14ac:dyDescent="0.25"/>
    <row r="326" s="7" customFormat="1" x14ac:dyDescent="0.25"/>
    <row r="327" s="7" customFormat="1" x14ac:dyDescent="0.25"/>
    <row r="328" s="7" customFormat="1" x14ac:dyDescent="0.25"/>
    <row r="329" s="7" customFormat="1" x14ac:dyDescent="0.25"/>
    <row r="330" s="7" customFormat="1" x14ac:dyDescent="0.25"/>
    <row r="331" s="7" customFormat="1" x14ac:dyDescent="0.25"/>
    <row r="332" s="7" customFormat="1" x14ac:dyDescent="0.25"/>
    <row r="333" s="7" customFormat="1" x14ac:dyDescent="0.25"/>
    <row r="334" s="7" customFormat="1" x14ac:dyDescent="0.25"/>
    <row r="335" s="7" customFormat="1" x14ac:dyDescent="0.25"/>
    <row r="336" s="7" customFormat="1" x14ac:dyDescent="0.25"/>
    <row r="337" s="7" customFormat="1" x14ac:dyDescent="0.25"/>
    <row r="338" s="7" customFormat="1" x14ac:dyDescent="0.25"/>
    <row r="339" s="7" customFormat="1" x14ac:dyDescent="0.25"/>
    <row r="340" s="7" customFormat="1" x14ac:dyDescent="0.25"/>
    <row r="341" s="7" customFormat="1" x14ac:dyDescent="0.25"/>
    <row r="342" s="7" customFormat="1" x14ac:dyDescent="0.25"/>
    <row r="343" s="7" customFormat="1" x14ac:dyDescent="0.25"/>
    <row r="344" s="7" customFormat="1" x14ac:dyDescent="0.25"/>
    <row r="345" s="7" customFormat="1" x14ac:dyDescent="0.25"/>
    <row r="346" s="7" customFormat="1" x14ac:dyDescent="0.25"/>
    <row r="347" s="7" customFormat="1" x14ac:dyDescent="0.25"/>
    <row r="348" s="7" customFormat="1" x14ac:dyDescent="0.25"/>
    <row r="349" s="7" customFormat="1" x14ac:dyDescent="0.25"/>
    <row r="350" s="7" customFormat="1" x14ac:dyDescent="0.25"/>
    <row r="351" s="7" customFormat="1" x14ac:dyDescent="0.25"/>
    <row r="352" s="7" customFormat="1" x14ac:dyDescent="0.25"/>
    <row r="353" s="7" customFormat="1" x14ac:dyDescent="0.25"/>
    <row r="354" s="7" customFormat="1" x14ac:dyDescent="0.25"/>
    <row r="355" s="7" customFormat="1" x14ac:dyDescent="0.25"/>
    <row r="356" s="7" customFormat="1" x14ac:dyDescent="0.25"/>
    <row r="357" s="7" customFormat="1" x14ac:dyDescent="0.25"/>
    <row r="358" s="7" customFormat="1" x14ac:dyDescent="0.25"/>
    <row r="359" s="7" customFormat="1" x14ac:dyDescent="0.25"/>
    <row r="360" s="7" customFormat="1" x14ac:dyDescent="0.25"/>
    <row r="361" s="7" customFormat="1" x14ac:dyDescent="0.25"/>
    <row r="362" s="7" customFormat="1" x14ac:dyDescent="0.25"/>
    <row r="363" s="7" customFormat="1" x14ac:dyDescent="0.25"/>
    <row r="364" s="7" customFormat="1" x14ac:dyDescent="0.25"/>
    <row r="365" s="7" customFormat="1" x14ac:dyDescent="0.25"/>
    <row r="366" s="7" customFormat="1" x14ac:dyDescent="0.25"/>
    <row r="367" s="7" customFormat="1" x14ac:dyDescent="0.25"/>
    <row r="368" s="7" customFormat="1" x14ac:dyDescent="0.25"/>
    <row r="369" s="7" customFormat="1" x14ac:dyDescent="0.25"/>
    <row r="370" s="7" customFormat="1" x14ac:dyDescent="0.25"/>
    <row r="371" s="7" customFormat="1" x14ac:dyDescent="0.25"/>
    <row r="372" s="7" customFormat="1" x14ac:dyDescent="0.25"/>
    <row r="373" s="7" customFormat="1" x14ac:dyDescent="0.25"/>
    <row r="374" s="7" customFormat="1" x14ac:dyDescent="0.25"/>
    <row r="375" s="7" customFormat="1" x14ac:dyDescent="0.25"/>
    <row r="376" s="7" customFormat="1" x14ac:dyDescent="0.25"/>
    <row r="377" s="7" customFormat="1" x14ac:dyDescent="0.25"/>
    <row r="378" s="7" customFormat="1" x14ac:dyDescent="0.25"/>
    <row r="379" s="7" customFormat="1" x14ac:dyDescent="0.25"/>
    <row r="380" s="7" customFormat="1" x14ac:dyDescent="0.25"/>
    <row r="381" s="7" customFormat="1" x14ac:dyDescent="0.25"/>
    <row r="382" s="7" customFormat="1" x14ac:dyDescent="0.25"/>
    <row r="383" s="7" customFormat="1" x14ac:dyDescent="0.25"/>
    <row r="384" s="7" customFormat="1" x14ac:dyDescent="0.25"/>
    <row r="385" s="7" customFormat="1" x14ac:dyDescent="0.25"/>
    <row r="386" s="7" customFormat="1" x14ac:dyDescent="0.25"/>
    <row r="387" s="7" customFormat="1" x14ac:dyDescent="0.25"/>
    <row r="388" s="7" customFormat="1" x14ac:dyDescent="0.25"/>
    <row r="389" s="7" customFormat="1" x14ac:dyDescent="0.25"/>
    <row r="390" s="7" customFormat="1" x14ac:dyDescent="0.25"/>
    <row r="391" s="7" customFormat="1" x14ac:dyDescent="0.25"/>
    <row r="392" s="7" customFormat="1" x14ac:dyDescent="0.25"/>
    <row r="393" s="7" customFormat="1" x14ac:dyDescent="0.25"/>
    <row r="394" s="7" customFormat="1" x14ac:dyDescent="0.25"/>
    <row r="395" s="7" customFormat="1" x14ac:dyDescent="0.25"/>
    <row r="396" s="7" customFormat="1" x14ac:dyDescent="0.25"/>
    <row r="397" s="7" customFormat="1" x14ac:dyDescent="0.25"/>
    <row r="398" s="7" customFormat="1" x14ac:dyDescent="0.25"/>
    <row r="399" s="7" customFormat="1" x14ac:dyDescent="0.25"/>
    <row r="400" s="7" customFormat="1" x14ac:dyDescent="0.25"/>
    <row r="401" s="7" customFormat="1" x14ac:dyDescent="0.25"/>
    <row r="402" s="7" customFormat="1" x14ac:dyDescent="0.25"/>
    <row r="403" s="7" customFormat="1" x14ac:dyDescent="0.25"/>
    <row r="404" s="7" customFormat="1" x14ac:dyDescent="0.25"/>
    <row r="405" s="7" customFormat="1" x14ac:dyDescent="0.25"/>
    <row r="406" s="7" customFormat="1" x14ac:dyDescent="0.25"/>
    <row r="407" s="7" customFormat="1" x14ac:dyDescent="0.25"/>
    <row r="408" s="7" customFormat="1" x14ac:dyDescent="0.25"/>
    <row r="409" s="7" customFormat="1" x14ac:dyDescent="0.25"/>
    <row r="410" s="7" customFormat="1" x14ac:dyDescent="0.25"/>
    <row r="411" s="7" customFormat="1" x14ac:dyDescent="0.25"/>
    <row r="412" s="7" customFormat="1" x14ac:dyDescent="0.25"/>
    <row r="413" s="7" customFormat="1" x14ac:dyDescent="0.25"/>
    <row r="414" s="7" customFormat="1" x14ac:dyDescent="0.25"/>
    <row r="415" s="7" customFormat="1" x14ac:dyDescent="0.25"/>
    <row r="416" s="7" customFormat="1" x14ac:dyDescent="0.25"/>
    <row r="417" s="7" customFormat="1" x14ac:dyDescent="0.25"/>
    <row r="418" s="7" customFormat="1" x14ac:dyDescent="0.25"/>
    <row r="419" s="7" customFormat="1" x14ac:dyDescent="0.25"/>
    <row r="420" s="7" customFormat="1" x14ac:dyDescent="0.25"/>
    <row r="421" s="7" customFormat="1" x14ac:dyDescent="0.25"/>
    <row r="422" s="7" customFormat="1" x14ac:dyDescent="0.25"/>
    <row r="423" s="7" customFormat="1" x14ac:dyDescent="0.25"/>
    <row r="424" s="7" customFormat="1" x14ac:dyDescent="0.25"/>
    <row r="425" s="7" customFormat="1" x14ac:dyDescent="0.25"/>
    <row r="426" s="7" customFormat="1" x14ac:dyDescent="0.25"/>
    <row r="427" s="7" customFormat="1" x14ac:dyDescent="0.25"/>
    <row r="428" s="7" customFormat="1" x14ac:dyDescent="0.25"/>
    <row r="429" s="7" customFormat="1" x14ac:dyDescent="0.25"/>
    <row r="430" s="7" customFormat="1" x14ac:dyDescent="0.25"/>
    <row r="431" s="7" customFormat="1" x14ac:dyDescent="0.25"/>
    <row r="432" s="7" customFormat="1" x14ac:dyDescent="0.25"/>
    <row r="433" s="7" customFormat="1" x14ac:dyDescent="0.25"/>
    <row r="434" s="7" customFormat="1" x14ac:dyDescent="0.25"/>
    <row r="435" s="7" customFormat="1" x14ac:dyDescent="0.25"/>
    <row r="436" s="7" customFormat="1" x14ac:dyDescent="0.25"/>
    <row r="437" s="7" customFormat="1" x14ac:dyDescent="0.25"/>
    <row r="438" s="7" customFormat="1" x14ac:dyDescent="0.25"/>
    <row r="439" s="7" customFormat="1" x14ac:dyDescent="0.25"/>
    <row r="440" s="7" customFormat="1" x14ac:dyDescent="0.25"/>
    <row r="441" s="7" customFormat="1" x14ac:dyDescent="0.25"/>
    <row r="442" s="7" customFormat="1" x14ac:dyDescent="0.25"/>
    <row r="443" s="7" customFormat="1" x14ac:dyDescent="0.25"/>
    <row r="444" s="7" customFormat="1" x14ac:dyDescent="0.25"/>
    <row r="445" s="7" customFormat="1" x14ac:dyDescent="0.25"/>
    <row r="446" s="7" customFormat="1" x14ac:dyDescent="0.25"/>
    <row r="447" s="7" customFormat="1" x14ac:dyDescent="0.25"/>
    <row r="448" s="7" customFormat="1" x14ac:dyDescent="0.25"/>
    <row r="449" s="7" customFormat="1" x14ac:dyDescent="0.25"/>
    <row r="450" s="7" customFormat="1" x14ac:dyDescent="0.25"/>
    <row r="451" s="7" customFormat="1" x14ac:dyDescent="0.25"/>
    <row r="452" s="7" customFormat="1" x14ac:dyDescent="0.25"/>
    <row r="453" s="7" customFormat="1" x14ac:dyDescent="0.25"/>
    <row r="454" s="7" customFormat="1" x14ac:dyDescent="0.25"/>
    <row r="455" s="7" customFormat="1" x14ac:dyDescent="0.25"/>
    <row r="456" s="7" customFormat="1" x14ac:dyDescent="0.25"/>
    <row r="457" s="7" customFormat="1" x14ac:dyDescent="0.25"/>
    <row r="458" s="7" customFormat="1" x14ac:dyDescent="0.25"/>
    <row r="459" s="7" customFormat="1" x14ac:dyDescent="0.25"/>
    <row r="460" s="7" customFormat="1" x14ac:dyDescent="0.25"/>
    <row r="461" s="7" customFormat="1" x14ac:dyDescent="0.25"/>
    <row r="462" s="7" customFormat="1" x14ac:dyDescent="0.25"/>
    <row r="463" s="7" customFormat="1" x14ac:dyDescent="0.25"/>
    <row r="464" s="7" customFormat="1" x14ac:dyDescent="0.25"/>
    <row r="465" s="7" customFormat="1" x14ac:dyDescent="0.25"/>
    <row r="466" s="7" customFormat="1" x14ac:dyDescent="0.25"/>
    <row r="467" s="7" customFormat="1" x14ac:dyDescent="0.25"/>
    <row r="468" s="7" customFormat="1" x14ac:dyDescent="0.25"/>
    <row r="469" s="7" customFormat="1" x14ac:dyDescent="0.25"/>
    <row r="470" s="7" customFormat="1" x14ac:dyDescent="0.25"/>
    <row r="471" s="7" customFormat="1" x14ac:dyDescent="0.25"/>
    <row r="472" s="7" customFormat="1" x14ac:dyDescent="0.25"/>
    <row r="473" s="7" customFormat="1" x14ac:dyDescent="0.25"/>
    <row r="474" s="7" customFormat="1" x14ac:dyDescent="0.25"/>
    <row r="475" s="7" customFormat="1" x14ac:dyDescent="0.25"/>
    <row r="476" s="7" customFormat="1" x14ac:dyDescent="0.25"/>
    <row r="477" s="7" customFormat="1" x14ac:dyDescent="0.25"/>
    <row r="478" s="7" customFormat="1" x14ac:dyDescent="0.25"/>
    <row r="479" s="7" customFormat="1" x14ac:dyDescent="0.25"/>
    <row r="480" s="7" customFormat="1" x14ac:dyDescent="0.25"/>
    <row r="481" s="7" customFormat="1" x14ac:dyDescent="0.25"/>
    <row r="482" s="7" customFormat="1" x14ac:dyDescent="0.25"/>
    <row r="483" s="7" customFormat="1" x14ac:dyDescent="0.25"/>
    <row r="484" s="7" customFormat="1" x14ac:dyDescent="0.25"/>
    <row r="485" s="7" customFormat="1" x14ac:dyDescent="0.25"/>
    <row r="486" s="7" customFormat="1" x14ac:dyDescent="0.25"/>
    <row r="487" s="7" customFormat="1" x14ac:dyDescent="0.25"/>
    <row r="488" s="7" customFormat="1" x14ac:dyDescent="0.25"/>
    <row r="489" s="7" customFormat="1" x14ac:dyDescent="0.25"/>
    <row r="490" s="7" customFormat="1" x14ac:dyDescent="0.25"/>
    <row r="491" s="7" customFormat="1" x14ac:dyDescent="0.25"/>
    <row r="492" s="7" customFormat="1" x14ac:dyDescent="0.25"/>
    <row r="493" s="7" customFormat="1" x14ac:dyDescent="0.25"/>
    <row r="494" s="7" customFormat="1" x14ac:dyDescent="0.25"/>
    <row r="495" s="7" customFormat="1" x14ac:dyDescent="0.25"/>
    <row r="496" s="7" customFormat="1" x14ac:dyDescent="0.25"/>
    <row r="497" s="7" customFormat="1" x14ac:dyDescent="0.25"/>
    <row r="498" s="7" customFormat="1" x14ac:dyDescent="0.25"/>
    <row r="499" s="7" customFormat="1" x14ac:dyDescent="0.25"/>
    <row r="500" s="7" customFormat="1" x14ac:dyDescent="0.25"/>
    <row r="501" s="7" customFormat="1" x14ac:dyDescent="0.25"/>
    <row r="502" s="7" customFormat="1" x14ac:dyDescent="0.25"/>
    <row r="503" s="7" customFormat="1" x14ac:dyDescent="0.25"/>
    <row r="504" s="7" customFormat="1" x14ac:dyDescent="0.25"/>
    <row r="505" s="7" customFormat="1" x14ac:dyDescent="0.25"/>
    <row r="506" s="7" customFormat="1" x14ac:dyDescent="0.25"/>
    <row r="507" s="7" customFormat="1" x14ac:dyDescent="0.25"/>
    <row r="508" s="7" customFormat="1" x14ac:dyDescent="0.25"/>
    <row r="509" s="7" customFormat="1" x14ac:dyDescent="0.25"/>
    <row r="510" s="7" customFormat="1" x14ac:dyDescent="0.25"/>
    <row r="511" s="7" customFormat="1" x14ac:dyDescent="0.25"/>
    <row r="512" s="7" customFormat="1" x14ac:dyDescent="0.25"/>
    <row r="513" s="7" customFormat="1" x14ac:dyDescent="0.25"/>
    <row r="514" s="7" customFormat="1" x14ac:dyDescent="0.25"/>
    <row r="515" s="7" customFormat="1" x14ac:dyDescent="0.25"/>
    <row r="516" s="7" customFormat="1" x14ac:dyDescent="0.25"/>
    <row r="517" s="7" customFormat="1" x14ac:dyDescent="0.25"/>
    <row r="518" s="7" customFormat="1" x14ac:dyDescent="0.25"/>
    <row r="519" s="7" customFormat="1" x14ac:dyDescent="0.25"/>
    <row r="520" s="7" customFormat="1" x14ac:dyDescent="0.25"/>
    <row r="521" s="7" customFormat="1" x14ac:dyDescent="0.25"/>
    <row r="522" s="7" customFormat="1" x14ac:dyDescent="0.25"/>
    <row r="523" s="7" customFormat="1" x14ac:dyDescent="0.25"/>
    <row r="524" s="7" customFormat="1" x14ac:dyDescent="0.25"/>
    <row r="525" s="7" customFormat="1" x14ac:dyDescent="0.25"/>
    <row r="526" s="7" customFormat="1" x14ac:dyDescent="0.25"/>
    <row r="527" s="7" customFormat="1" x14ac:dyDescent="0.25"/>
    <row r="528" s="7" customFormat="1" x14ac:dyDescent="0.25"/>
    <row r="529" s="7" customFormat="1" x14ac:dyDescent="0.25"/>
    <row r="530" s="7" customFormat="1" x14ac:dyDescent="0.25"/>
    <row r="531" s="7" customFormat="1" x14ac:dyDescent="0.25"/>
    <row r="532" s="7" customFormat="1" x14ac:dyDescent="0.25"/>
    <row r="533" s="7" customFormat="1" x14ac:dyDescent="0.25"/>
    <row r="534" s="7" customFormat="1" x14ac:dyDescent="0.25"/>
    <row r="535" s="7" customFormat="1" x14ac:dyDescent="0.25"/>
    <row r="536" s="7" customFormat="1" x14ac:dyDescent="0.25"/>
    <row r="537" s="7" customFormat="1" x14ac:dyDescent="0.25"/>
    <row r="538" s="7" customFormat="1" x14ac:dyDescent="0.25"/>
    <row r="539" s="7" customFormat="1" x14ac:dyDescent="0.25"/>
    <row r="540" s="7" customFormat="1" x14ac:dyDescent="0.25"/>
    <row r="541" s="7" customFormat="1" x14ac:dyDescent="0.25"/>
    <row r="542" s="7" customFormat="1" x14ac:dyDescent="0.25"/>
    <row r="543" s="7" customFormat="1" x14ac:dyDescent="0.25"/>
    <row r="544" s="7" customFormat="1" x14ac:dyDescent="0.25"/>
    <row r="545" s="7" customFormat="1" x14ac:dyDescent="0.25"/>
    <row r="546" s="7" customFormat="1" x14ac:dyDescent="0.25"/>
    <row r="547" s="7" customFormat="1" x14ac:dyDescent="0.25"/>
    <row r="548" s="7" customFormat="1" x14ac:dyDescent="0.25"/>
    <row r="549" s="7" customFormat="1" x14ac:dyDescent="0.25"/>
    <row r="550" s="7" customFormat="1" x14ac:dyDescent="0.25"/>
    <row r="551" s="7" customFormat="1" x14ac:dyDescent="0.25"/>
    <row r="552" s="7" customFormat="1" x14ac:dyDescent="0.25"/>
    <row r="553" s="7" customFormat="1" x14ac:dyDescent="0.25"/>
    <row r="554" s="7" customFormat="1" x14ac:dyDescent="0.25"/>
    <row r="555" s="7" customFormat="1" x14ac:dyDescent="0.25"/>
    <row r="556" s="7" customFormat="1" x14ac:dyDescent="0.25"/>
    <row r="557" s="7" customFormat="1" x14ac:dyDescent="0.25"/>
    <row r="558" s="7" customFormat="1" x14ac:dyDescent="0.25"/>
    <row r="559" s="7" customFormat="1" x14ac:dyDescent="0.25"/>
    <row r="560" s="7" customFormat="1" x14ac:dyDescent="0.25"/>
    <row r="561" s="7" customFormat="1" x14ac:dyDescent="0.25"/>
    <row r="562" s="7" customFormat="1" x14ac:dyDescent="0.25"/>
    <row r="563" s="7" customFormat="1" x14ac:dyDescent="0.25"/>
    <row r="564" s="7" customFormat="1" x14ac:dyDescent="0.25"/>
    <row r="565" s="7" customFormat="1" x14ac:dyDescent="0.25"/>
    <row r="566" s="7" customFormat="1" x14ac:dyDescent="0.25"/>
    <row r="567" s="7" customFormat="1" x14ac:dyDescent="0.25"/>
    <row r="568" s="7" customFormat="1" x14ac:dyDescent="0.25"/>
    <row r="569" s="7" customFormat="1" x14ac:dyDescent="0.25"/>
    <row r="570" s="7" customFormat="1" x14ac:dyDescent="0.25"/>
    <row r="571" s="7" customFormat="1" x14ac:dyDescent="0.25"/>
    <row r="572" s="7" customFormat="1" x14ac:dyDescent="0.25"/>
    <row r="573" s="7" customFormat="1" x14ac:dyDescent="0.25"/>
    <row r="574" s="7" customFormat="1" x14ac:dyDescent="0.25"/>
    <row r="575" s="7" customFormat="1" x14ac:dyDescent="0.25"/>
    <row r="576" s="7" customFormat="1" x14ac:dyDescent="0.25"/>
    <row r="577" s="7" customFormat="1" x14ac:dyDescent="0.25"/>
    <row r="578" s="7" customFormat="1" x14ac:dyDescent="0.25"/>
    <row r="579" s="7" customFormat="1" x14ac:dyDescent="0.25"/>
    <row r="580" s="7" customFormat="1" x14ac:dyDescent="0.25"/>
    <row r="581" s="7" customFormat="1" x14ac:dyDescent="0.25"/>
    <row r="582" s="7" customFormat="1" x14ac:dyDescent="0.25"/>
    <row r="583" s="7" customFormat="1" x14ac:dyDescent="0.25"/>
    <row r="584" s="7" customFormat="1" x14ac:dyDescent="0.25"/>
    <row r="585" s="7" customFormat="1" x14ac:dyDescent="0.25"/>
    <row r="586" s="7" customFormat="1" x14ac:dyDescent="0.25"/>
    <row r="587" s="7" customFormat="1" x14ac:dyDescent="0.25"/>
    <row r="588" s="7" customFormat="1" x14ac:dyDescent="0.25"/>
    <row r="589" s="7" customFormat="1" x14ac:dyDescent="0.25"/>
    <row r="590" s="7" customFormat="1" x14ac:dyDescent="0.25"/>
    <row r="591" s="7" customFormat="1" x14ac:dyDescent="0.25"/>
    <row r="592" s="7" customFormat="1" x14ac:dyDescent="0.25"/>
    <row r="593" s="7" customFormat="1" x14ac:dyDescent="0.25"/>
    <row r="594" s="7" customFormat="1" x14ac:dyDescent="0.25"/>
    <row r="595" s="7" customFormat="1" x14ac:dyDescent="0.25"/>
    <row r="596" s="7" customFormat="1" x14ac:dyDescent="0.25"/>
    <row r="597" s="7" customFormat="1" x14ac:dyDescent="0.25"/>
    <row r="598" s="7" customFormat="1" x14ac:dyDescent="0.25"/>
    <row r="599" s="7" customFormat="1" x14ac:dyDescent="0.25"/>
    <row r="600" s="7" customFormat="1" x14ac:dyDescent="0.25"/>
    <row r="601" s="7" customFormat="1" x14ac:dyDescent="0.25"/>
    <row r="602" s="7" customFormat="1" x14ac:dyDescent="0.25"/>
    <row r="603" s="7" customFormat="1" x14ac:dyDescent="0.25"/>
    <row r="604" s="7" customFormat="1" x14ac:dyDescent="0.25"/>
    <row r="605" s="7" customFormat="1" x14ac:dyDescent="0.25"/>
    <row r="606" s="7" customFormat="1" x14ac:dyDescent="0.25"/>
    <row r="607" s="7" customFormat="1" x14ac:dyDescent="0.25"/>
    <row r="608" s="7" customFormat="1" x14ac:dyDescent="0.25"/>
    <row r="609" s="7" customFormat="1" x14ac:dyDescent="0.25"/>
    <row r="610" s="7" customFormat="1" x14ac:dyDescent="0.25"/>
    <row r="611" s="7" customFormat="1" x14ac:dyDescent="0.25"/>
    <row r="612" s="7" customFormat="1" x14ac:dyDescent="0.25"/>
    <row r="613" s="7" customFormat="1" x14ac:dyDescent="0.25"/>
    <row r="614" s="7" customFormat="1" x14ac:dyDescent="0.25"/>
    <row r="615" s="7" customFormat="1" x14ac:dyDescent="0.25"/>
    <row r="616" s="7" customFormat="1" x14ac:dyDescent="0.25"/>
    <row r="617" s="7" customFormat="1" x14ac:dyDescent="0.25"/>
    <row r="618" s="7" customFormat="1" x14ac:dyDescent="0.25"/>
    <row r="619" s="7" customFormat="1" x14ac:dyDescent="0.25"/>
    <row r="620" s="7" customFormat="1" x14ac:dyDescent="0.25"/>
    <row r="621" s="7" customFormat="1" x14ac:dyDescent="0.25"/>
    <row r="622" s="7" customFormat="1" x14ac:dyDescent="0.25"/>
    <row r="623" s="7" customFormat="1" x14ac:dyDescent="0.25"/>
    <row r="624" s="7" customFormat="1" x14ac:dyDescent="0.25"/>
    <row r="625" s="7" customFormat="1" x14ac:dyDescent="0.25"/>
    <row r="626" s="7" customFormat="1" x14ac:dyDescent="0.25"/>
    <row r="627" s="7" customFormat="1" x14ac:dyDescent="0.25"/>
    <row r="628" s="7" customFormat="1" x14ac:dyDescent="0.25"/>
    <row r="629" s="7" customFormat="1" x14ac:dyDescent="0.25"/>
    <row r="630" s="7" customFormat="1" x14ac:dyDescent="0.25"/>
    <row r="631" s="7" customFormat="1" x14ac:dyDescent="0.25"/>
    <row r="632" s="7" customFormat="1" x14ac:dyDescent="0.25"/>
    <row r="633" s="7" customFormat="1" x14ac:dyDescent="0.25"/>
    <row r="634" s="7" customFormat="1" x14ac:dyDescent="0.25"/>
    <row r="635" s="7" customFormat="1" x14ac:dyDescent="0.25"/>
    <row r="636" s="7" customFormat="1" x14ac:dyDescent="0.25"/>
    <row r="637" s="7" customFormat="1" x14ac:dyDescent="0.25"/>
    <row r="638" s="7" customFormat="1" x14ac:dyDescent="0.25"/>
    <row r="639" s="7" customFormat="1" x14ac:dyDescent="0.25"/>
    <row r="640" s="7" customFormat="1" x14ac:dyDescent="0.25"/>
    <row r="641" s="7" customFormat="1" x14ac:dyDescent="0.25"/>
    <row r="642" s="7" customFormat="1" x14ac:dyDescent="0.25"/>
    <row r="643" s="7" customFormat="1" x14ac:dyDescent="0.25"/>
    <row r="644" s="7" customFormat="1" x14ac:dyDescent="0.25"/>
    <row r="645" s="7" customFormat="1" x14ac:dyDescent="0.25"/>
    <row r="646" s="7" customFormat="1" x14ac:dyDescent="0.25"/>
    <row r="647" s="7" customFormat="1" x14ac:dyDescent="0.25"/>
    <row r="648" s="7" customFormat="1" x14ac:dyDescent="0.25"/>
    <row r="649" s="7" customFormat="1" x14ac:dyDescent="0.25"/>
    <row r="650" s="7" customFormat="1" x14ac:dyDescent="0.25"/>
    <row r="651" s="7" customFormat="1" x14ac:dyDescent="0.25"/>
    <row r="652" s="7" customFormat="1" x14ac:dyDescent="0.25"/>
    <row r="653" s="7" customFormat="1" x14ac:dyDescent="0.25"/>
    <row r="654" s="7" customFormat="1" x14ac:dyDescent="0.25"/>
    <row r="655" s="7" customFormat="1" x14ac:dyDescent="0.25"/>
    <row r="656" s="7" customFormat="1" x14ac:dyDescent="0.25"/>
    <row r="657" s="7" customFormat="1" x14ac:dyDescent="0.25"/>
    <row r="658" s="7" customFormat="1" x14ac:dyDescent="0.25"/>
    <row r="659" s="7" customFormat="1" x14ac:dyDescent="0.25"/>
    <row r="660" s="7" customFormat="1" x14ac:dyDescent="0.25"/>
    <row r="661" s="7" customFormat="1" x14ac:dyDescent="0.25"/>
    <row r="662" s="7" customFormat="1" x14ac:dyDescent="0.25"/>
    <row r="663" s="7" customFormat="1" x14ac:dyDescent="0.25"/>
    <row r="664" s="7" customFormat="1" x14ac:dyDescent="0.25"/>
    <row r="665" s="7" customFormat="1" x14ac:dyDescent="0.25"/>
    <row r="666" s="7" customFormat="1" x14ac:dyDescent="0.25"/>
    <row r="667" s="7" customFormat="1" x14ac:dyDescent="0.25"/>
    <row r="668" s="7" customFormat="1" x14ac:dyDescent="0.25"/>
    <row r="669" s="7" customFormat="1" x14ac:dyDescent="0.25"/>
    <row r="670" s="7" customFormat="1" x14ac:dyDescent="0.25"/>
    <row r="671" s="7" customFormat="1" x14ac:dyDescent="0.25"/>
    <row r="672" s="7" customFormat="1" x14ac:dyDescent="0.25"/>
    <row r="673" s="7" customFormat="1" x14ac:dyDescent="0.25"/>
    <row r="674" s="7" customFormat="1" x14ac:dyDescent="0.25"/>
    <row r="675" s="7" customFormat="1" x14ac:dyDescent="0.25"/>
    <row r="676" s="7" customFormat="1" x14ac:dyDescent="0.25"/>
    <row r="677" s="7" customFormat="1" x14ac:dyDescent="0.25"/>
    <row r="678" s="7" customFormat="1" x14ac:dyDescent="0.25"/>
    <row r="679" s="7" customFormat="1" x14ac:dyDescent="0.25"/>
    <row r="680" s="7" customFormat="1" x14ac:dyDescent="0.25"/>
    <row r="681" s="7" customFormat="1" x14ac:dyDescent="0.25"/>
    <row r="682" s="7" customFormat="1" x14ac:dyDescent="0.25"/>
    <row r="683" s="7" customFormat="1" x14ac:dyDescent="0.25"/>
    <row r="684" s="7" customFormat="1" x14ac:dyDescent="0.25"/>
    <row r="685" s="7" customFormat="1" x14ac:dyDescent="0.25"/>
    <row r="686" s="7" customFormat="1" x14ac:dyDescent="0.25"/>
    <row r="687" s="7" customFormat="1" x14ac:dyDescent="0.25"/>
    <row r="688" s="7" customFormat="1" x14ac:dyDescent="0.25"/>
    <row r="689" s="7" customFormat="1" x14ac:dyDescent="0.25"/>
    <row r="690" s="7" customFormat="1" x14ac:dyDescent="0.25"/>
    <row r="691" s="7" customFormat="1" x14ac:dyDescent="0.25"/>
    <row r="692" s="7" customFormat="1" x14ac:dyDescent="0.25"/>
    <row r="693" s="7" customFormat="1" x14ac:dyDescent="0.25"/>
    <row r="694" s="7" customFormat="1" x14ac:dyDescent="0.25"/>
    <row r="695" s="7" customFormat="1" x14ac:dyDescent="0.25"/>
    <row r="696" s="7" customFormat="1" x14ac:dyDescent="0.25"/>
    <row r="697" s="7" customFormat="1" x14ac:dyDescent="0.25"/>
    <row r="698" s="7" customFormat="1" x14ac:dyDescent="0.25"/>
    <row r="699" s="7" customFormat="1" x14ac:dyDescent="0.25"/>
    <row r="700" s="7" customFormat="1" x14ac:dyDescent="0.25"/>
    <row r="701" s="7" customFormat="1" x14ac:dyDescent="0.25"/>
    <row r="702" s="7" customFormat="1" x14ac:dyDescent="0.25"/>
    <row r="703" s="7" customFormat="1" x14ac:dyDescent="0.25"/>
    <row r="704" s="7" customFormat="1" x14ac:dyDescent="0.25"/>
    <row r="705" s="7" customFormat="1" x14ac:dyDescent="0.25"/>
    <row r="706" s="7" customFormat="1" x14ac:dyDescent="0.25"/>
    <row r="707" s="7" customFormat="1" x14ac:dyDescent="0.25"/>
    <row r="708" s="7" customFormat="1" x14ac:dyDescent="0.25"/>
    <row r="709" s="7" customFormat="1" x14ac:dyDescent="0.25"/>
    <row r="710" s="7" customFormat="1" x14ac:dyDescent="0.25"/>
    <row r="711" s="7" customFormat="1" x14ac:dyDescent="0.25"/>
    <row r="712" s="7" customFormat="1" x14ac:dyDescent="0.25"/>
    <row r="713" s="7" customFormat="1" x14ac:dyDescent="0.25"/>
    <row r="714" s="7" customFormat="1" x14ac:dyDescent="0.25"/>
    <row r="715" s="7" customFormat="1" x14ac:dyDescent="0.25"/>
    <row r="716" s="7" customFormat="1" x14ac:dyDescent="0.25"/>
    <row r="717" s="7" customFormat="1" x14ac:dyDescent="0.25"/>
    <row r="718" s="7" customFormat="1" x14ac:dyDescent="0.25"/>
    <row r="719" s="7" customFormat="1" x14ac:dyDescent="0.25"/>
    <row r="720" s="7" customFormat="1" x14ac:dyDescent="0.25"/>
    <row r="721" s="7" customFormat="1" x14ac:dyDescent="0.25"/>
    <row r="722" s="7" customFormat="1" x14ac:dyDescent="0.25"/>
    <row r="723" s="7" customFormat="1" x14ac:dyDescent="0.25"/>
    <row r="724" s="7" customFormat="1" x14ac:dyDescent="0.25"/>
    <row r="725" s="7" customFormat="1" x14ac:dyDescent="0.25"/>
    <row r="726" s="7" customFormat="1" x14ac:dyDescent="0.25"/>
    <row r="727" s="7" customFormat="1" x14ac:dyDescent="0.25"/>
    <row r="728" s="7" customFormat="1" x14ac:dyDescent="0.25"/>
    <row r="729" s="7" customFormat="1" x14ac:dyDescent="0.25"/>
    <row r="730" s="7" customFormat="1" x14ac:dyDescent="0.25"/>
    <row r="731" s="7" customFormat="1" x14ac:dyDescent="0.25"/>
    <row r="732" s="7" customFormat="1" x14ac:dyDescent="0.25"/>
    <row r="733" s="7" customFormat="1" x14ac:dyDescent="0.25"/>
    <row r="734" s="7" customFormat="1" x14ac:dyDescent="0.25"/>
    <row r="735" s="7" customFormat="1" x14ac:dyDescent="0.25"/>
    <row r="736" s="7" customFormat="1" x14ac:dyDescent="0.25"/>
    <row r="737" s="7" customFormat="1" x14ac:dyDescent="0.25"/>
    <row r="738" s="7" customFormat="1" x14ac:dyDescent="0.25"/>
    <row r="739" s="7" customFormat="1" x14ac:dyDescent="0.25"/>
    <row r="740" s="7" customFormat="1" x14ac:dyDescent="0.25"/>
    <row r="741" s="7" customFormat="1" x14ac:dyDescent="0.25"/>
    <row r="742" s="7" customFormat="1" x14ac:dyDescent="0.25"/>
    <row r="743" s="7" customFormat="1" x14ac:dyDescent="0.25"/>
    <row r="744" s="7" customFormat="1" x14ac:dyDescent="0.25"/>
    <row r="745" s="7" customFormat="1" x14ac:dyDescent="0.25"/>
    <row r="746" s="7" customFormat="1" x14ac:dyDescent="0.25"/>
    <row r="747" s="7" customFormat="1" x14ac:dyDescent="0.25"/>
    <row r="748" s="7" customFormat="1" x14ac:dyDescent="0.25"/>
    <row r="749" s="7" customFormat="1" x14ac:dyDescent="0.25"/>
    <row r="750" s="7" customFormat="1" x14ac:dyDescent="0.25"/>
    <row r="751" s="7" customFormat="1" x14ac:dyDescent="0.25"/>
    <row r="752" s="7" customFormat="1" x14ac:dyDescent="0.25"/>
    <row r="753" s="7" customFormat="1" x14ac:dyDescent="0.25"/>
    <row r="754" s="7" customFormat="1" x14ac:dyDescent="0.25"/>
    <row r="755" s="7" customFormat="1" x14ac:dyDescent="0.25"/>
    <row r="756" s="7" customFormat="1" x14ac:dyDescent="0.25"/>
    <row r="757" s="7" customFormat="1" x14ac:dyDescent="0.25"/>
    <row r="758" s="7" customFormat="1" x14ac:dyDescent="0.25"/>
    <row r="759" s="7" customFormat="1" x14ac:dyDescent="0.25"/>
    <row r="760" s="7" customFormat="1" x14ac:dyDescent="0.25"/>
    <row r="761" s="7" customFormat="1" x14ac:dyDescent="0.25"/>
    <row r="762" s="7" customFormat="1" x14ac:dyDescent="0.25"/>
    <row r="763" s="7" customFormat="1" x14ac:dyDescent="0.25"/>
    <row r="764" s="7" customFormat="1" x14ac:dyDescent="0.25"/>
    <row r="765" s="7" customFormat="1" x14ac:dyDescent="0.25"/>
    <row r="766" s="7" customFormat="1" x14ac:dyDescent="0.25"/>
    <row r="767" s="7" customFormat="1" x14ac:dyDescent="0.25"/>
    <row r="768" s="7" customFormat="1" x14ac:dyDescent="0.25"/>
    <row r="769" s="7" customFormat="1" x14ac:dyDescent="0.25"/>
    <row r="770" s="7" customFormat="1" x14ac:dyDescent="0.25"/>
    <row r="771" s="7" customFormat="1" x14ac:dyDescent="0.25"/>
    <row r="772" s="7" customFormat="1" x14ac:dyDescent="0.25"/>
    <row r="773" s="7" customFormat="1" x14ac:dyDescent="0.25"/>
    <row r="774" s="7" customFormat="1" x14ac:dyDescent="0.25"/>
    <row r="775" s="7" customFormat="1" x14ac:dyDescent="0.25"/>
    <row r="776" s="7" customFormat="1" x14ac:dyDescent="0.25"/>
    <row r="777" s="7" customFormat="1" x14ac:dyDescent="0.25"/>
    <row r="778" s="7" customFormat="1" x14ac:dyDescent="0.25"/>
    <row r="779" s="7" customFormat="1" x14ac:dyDescent="0.25"/>
    <row r="780" s="7" customFormat="1" x14ac:dyDescent="0.25"/>
    <row r="781" s="7" customFormat="1" x14ac:dyDescent="0.25"/>
    <row r="782" s="7" customFormat="1" x14ac:dyDescent="0.25"/>
    <row r="783" s="7" customFormat="1" x14ac:dyDescent="0.25"/>
    <row r="784" s="7" customFormat="1" x14ac:dyDescent="0.25"/>
    <row r="785" s="7" customFormat="1" x14ac:dyDescent="0.25"/>
    <row r="786" s="7" customFormat="1" x14ac:dyDescent="0.25"/>
    <row r="787" s="7" customFormat="1" x14ac:dyDescent="0.25"/>
    <row r="788" s="7" customFormat="1" x14ac:dyDescent="0.25"/>
    <row r="789" s="7" customFormat="1" x14ac:dyDescent="0.25"/>
    <row r="790" s="7" customFormat="1" x14ac:dyDescent="0.25"/>
    <row r="791" s="7" customFormat="1" x14ac:dyDescent="0.25"/>
    <row r="792" s="7" customFormat="1" x14ac:dyDescent="0.25"/>
    <row r="793" s="7" customFormat="1" x14ac:dyDescent="0.25"/>
    <row r="794" s="7" customFormat="1" x14ac:dyDescent="0.25"/>
    <row r="795" s="7" customFormat="1" x14ac:dyDescent="0.25"/>
    <row r="796" s="7" customFormat="1" x14ac:dyDescent="0.25"/>
    <row r="797" s="7" customFormat="1" x14ac:dyDescent="0.25"/>
    <row r="798" s="7" customFormat="1" x14ac:dyDescent="0.25"/>
    <row r="799" s="7" customFormat="1" x14ac:dyDescent="0.25"/>
    <row r="800" s="7" customFormat="1" x14ac:dyDescent="0.25"/>
    <row r="801" s="7" customFormat="1" x14ac:dyDescent="0.25"/>
    <row r="802" s="7" customFormat="1" x14ac:dyDescent="0.25"/>
    <row r="803" s="7" customFormat="1" x14ac:dyDescent="0.25"/>
    <row r="804" s="7" customFormat="1" x14ac:dyDescent="0.25"/>
    <row r="805" s="7" customFormat="1" x14ac:dyDescent="0.25"/>
    <row r="806" s="7" customFormat="1" x14ac:dyDescent="0.25"/>
    <row r="807" s="7" customFormat="1" x14ac:dyDescent="0.25"/>
    <row r="808" s="7" customFormat="1" x14ac:dyDescent="0.25"/>
    <row r="809" s="7" customFormat="1" x14ac:dyDescent="0.25"/>
    <row r="810" s="7" customFormat="1" x14ac:dyDescent="0.25"/>
    <row r="811" s="7" customFormat="1" x14ac:dyDescent="0.25"/>
    <row r="812" s="7" customFormat="1" x14ac:dyDescent="0.25"/>
    <row r="813" s="7" customFormat="1" x14ac:dyDescent="0.25"/>
    <row r="814" s="7" customFormat="1" x14ac:dyDescent="0.25"/>
    <row r="815" s="7" customFormat="1" x14ac:dyDescent="0.25"/>
    <row r="816" s="7" customFormat="1" x14ac:dyDescent="0.25"/>
    <row r="817" s="7" customFormat="1" x14ac:dyDescent="0.25"/>
    <row r="818" s="7" customFormat="1" x14ac:dyDescent="0.25"/>
    <row r="819" s="7" customFormat="1" x14ac:dyDescent="0.25"/>
    <row r="820" s="7" customFormat="1" x14ac:dyDescent="0.25"/>
    <row r="821" s="7" customFormat="1" x14ac:dyDescent="0.25"/>
    <row r="822" s="7" customFormat="1" x14ac:dyDescent="0.25"/>
    <row r="823" s="7" customFormat="1" x14ac:dyDescent="0.25"/>
    <row r="824" s="7" customFormat="1" x14ac:dyDescent="0.25"/>
    <row r="825" s="7" customFormat="1" x14ac:dyDescent="0.25"/>
    <row r="826" s="7" customFormat="1" x14ac:dyDescent="0.25"/>
    <row r="827" s="7" customFormat="1" x14ac:dyDescent="0.25"/>
    <row r="828" s="7" customFormat="1" x14ac:dyDescent="0.25"/>
    <row r="829" s="7" customFormat="1" x14ac:dyDescent="0.25"/>
    <row r="830" s="7" customFormat="1" x14ac:dyDescent="0.25"/>
    <row r="831" s="7" customFormat="1" x14ac:dyDescent="0.25"/>
    <row r="832" s="7" customFormat="1" x14ac:dyDescent="0.25"/>
    <row r="833" s="7" customFormat="1" x14ac:dyDescent="0.25"/>
    <row r="834" s="7" customFormat="1" x14ac:dyDescent="0.25"/>
    <row r="835" s="7" customFormat="1" x14ac:dyDescent="0.25"/>
    <row r="836" s="7" customFormat="1" x14ac:dyDescent="0.25"/>
    <row r="837" s="7" customFormat="1" x14ac:dyDescent="0.25"/>
    <row r="838" s="7" customFormat="1" x14ac:dyDescent="0.25"/>
    <row r="839" s="7" customFormat="1" x14ac:dyDescent="0.25"/>
    <row r="840" s="7" customFormat="1" x14ac:dyDescent="0.25"/>
    <row r="841" s="7" customFormat="1" x14ac:dyDescent="0.25"/>
    <row r="842" s="7" customFormat="1" x14ac:dyDescent="0.25"/>
    <row r="843" s="7" customFormat="1" x14ac:dyDescent="0.25"/>
    <row r="844" s="7" customFormat="1" x14ac:dyDescent="0.25"/>
    <row r="845" s="7" customFormat="1" x14ac:dyDescent="0.25"/>
    <row r="846" s="7" customFormat="1" x14ac:dyDescent="0.25"/>
    <row r="847" s="7" customFormat="1" x14ac:dyDescent="0.25"/>
    <row r="848" s="7" customFormat="1" x14ac:dyDescent="0.25"/>
    <row r="849" s="7" customFormat="1" x14ac:dyDescent="0.25"/>
    <row r="850" s="7" customFormat="1" x14ac:dyDescent="0.25"/>
    <row r="851" s="7" customFormat="1" x14ac:dyDescent="0.25"/>
    <row r="852" s="7" customFormat="1" x14ac:dyDescent="0.25"/>
    <row r="853" s="7" customFormat="1" x14ac:dyDescent="0.25"/>
    <row r="854" s="7" customFormat="1" x14ac:dyDescent="0.25"/>
    <row r="855" s="7" customFormat="1" x14ac:dyDescent="0.25"/>
    <row r="856" s="7" customFormat="1" x14ac:dyDescent="0.25"/>
    <row r="857" s="7" customFormat="1" x14ac:dyDescent="0.25"/>
    <row r="858" s="7" customFormat="1" x14ac:dyDescent="0.25"/>
    <row r="859" s="7" customFormat="1" x14ac:dyDescent="0.25"/>
    <row r="860" s="7" customFormat="1" x14ac:dyDescent="0.25"/>
    <row r="861" s="7" customFormat="1" x14ac:dyDescent="0.25"/>
    <row r="862" s="7" customFormat="1" x14ac:dyDescent="0.25"/>
    <row r="863" s="7" customFormat="1" x14ac:dyDescent="0.25"/>
    <row r="864" s="7" customFormat="1" x14ac:dyDescent="0.25"/>
    <row r="865" s="7" customFormat="1" x14ac:dyDescent="0.25"/>
    <row r="866" s="7" customFormat="1" x14ac:dyDescent="0.25"/>
    <row r="867" s="7" customFormat="1" x14ac:dyDescent="0.25"/>
    <row r="868" s="7" customFormat="1" x14ac:dyDescent="0.25"/>
    <row r="869" s="7" customFormat="1" x14ac:dyDescent="0.25"/>
    <row r="870" s="7" customFormat="1" x14ac:dyDescent="0.25"/>
    <row r="871" s="7" customFormat="1" x14ac:dyDescent="0.25"/>
    <row r="872" s="7" customFormat="1" x14ac:dyDescent="0.25"/>
    <row r="873" s="7" customFormat="1" x14ac:dyDescent="0.25"/>
    <row r="874" s="7" customFormat="1" x14ac:dyDescent="0.25"/>
    <row r="875" s="7" customFormat="1" x14ac:dyDescent="0.25"/>
    <row r="876" s="7" customFormat="1" x14ac:dyDescent="0.25"/>
    <row r="877" s="7" customFormat="1" x14ac:dyDescent="0.25"/>
    <row r="878" s="7" customFormat="1" x14ac:dyDescent="0.25"/>
    <row r="879" s="7" customFormat="1" x14ac:dyDescent="0.25"/>
    <row r="880" s="7" customFormat="1" x14ac:dyDescent="0.25"/>
    <row r="881" s="7" customFormat="1" x14ac:dyDescent="0.25"/>
    <row r="882" s="7" customFormat="1" x14ac:dyDescent="0.25"/>
    <row r="883" s="7" customFormat="1" x14ac:dyDescent="0.25"/>
    <row r="884" s="7" customFormat="1" x14ac:dyDescent="0.25"/>
    <row r="885" s="7" customFormat="1" x14ac:dyDescent="0.25"/>
    <row r="886" s="7" customFormat="1" x14ac:dyDescent="0.25"/>
    <row r="887" s="7" customFormat="1" x14ac:dyDescent="0.25"/>
    <row r="888" s="7" customFormat="1" x14ac:dyDescent="0.25"/>
    <row r="889" s="7" customFormat="1" x14ac:dyDescent="0.25"/>
    <row r="890" s="7" customFormat="1" x14ac:dyDescent="0.25"/>
    <row r="891" s="7" customFormat="1" x14ac:dyDescent="0.25"/>
    <row r="892" s="7" customFormat="1" x14ac:dyDescent="0.25"/>
    <row r="893" s="7" customFormat="1" x14ac:dyDescent="0.25"/>
    <row r="894" s="7" customFormat="1" x14ac:dyDescent="0.25"/>
    <row r="895" s="7" customFormat="1" x14ac:dyDescent="0.25"/>
    <row r="896" s="7" customFormat="1" x14ac:dyDescent="0.25"/>
    <row r="897" s="7" customFormat="1" x14ac:dyDescent="0.25"/>
    <row r="898" s="7" customFormat="1" x14ac:dyDescent="0.25"/>
    <row r="899" s="7" customFormat="1" x14ac:dyDescent="0.25"/>
    <row r="900" s="7" customFormat="1" x14ac:dyDescent="0.25"/>
    <row r="901" s="7" customFormat="1" x14ac:dyDescent="0.25"/>
    <row r="902" s="7" customFormat="1" x14ac:dyDescent="0.25"/>
    <row r="903" s="7" customFormat="1" x14ac:dyDescent="0.25"/>
    <row r="904" s="7" customFormat="1" x14ac:dyDescent="0.25"/>
    <row r="905" s="7" customFormat="1" x14ac:dyDescent="0.25"/>
    <row r="906" s="7" customFormat="1" x14ac:dyDescent="0.25"/>
    <row r="907" s="7" customFormat="1" x14ac:dyDescent="0.25"/>
    <row r="908" s="7" customFormat="1" x14ac:dyDescent="0.25"/>
    <row r="909" s="7" customFormat="1" x14ac:dyDescent="0.25"/>
    <row r="910" s="7" customFormat="1" x14ac:dyDescent="0.25"/>
    <row r="911" s="7" customFormat="1" x14ac:dyDescent="0.25"/>
    <row r="912" s="7" customFormat="1" x14ac:dyDescent="0.25"/>
    <row r="913" s="7" customFormat="1" x14ac:dyDescent="0.25"/>
    <row r="914" s="7" customFormat="1" x14ac:dyDescent="0.25"/>
    <row r="915" s="7" customFormat="1" x14ac:dyDescent="0.25"/>
    <row r="916" s="7" customFormat="1" x14ac:dyDescent="0.25"/>
    <row r="917" s="7" customFormat="1" x14ac:dyDescent="0.25"/>
    <row r="918" s="7" customFormat="1" x14ac:dyDescent="0.25"/>
    <row r="919" s="7" customFormat="1" x14ac:dyDescent="0.25"/>
    <row r="920" s="7" customFormat="1" x14ac:dyDescent="0.25"/>
    <row r="921" s="7" customFormat="1" x14ac:dyDescent="0.25"/>
    <row r="922" s="7" customFormat="1" x14ac:dyDescent="0.25"/>
    <row r="923" s="7" customFormat="1" x14ac:dyDescent="0.25"/>
    <row r="924" s="7" customFormat="1" x14ac:dyDescent="0.25"/>
    <row r="925" s="7" customFormat="1" x14ac:dyDescent="0.25"/>
    <row r="926" s="7" customFormat="1" x14ac:dyDescent="0.25"/>
    <row r="927" s="7" customFormat="1" x14ac:dyDescent="0.25"/>
    <row r="928" s="7" customFormat="1" x14ac:dyDescent="0.25"/>
    <row r="929" s="7" customFormat="1" x14ac:dyDescent="0.25"/>
    <row r="930" s="7" customFormat="1" x14ac:dyDescent="0.25"/>
    <row r="931" s="7" customFormat="1" x14ac:dyDescent="0.25"/>
    <row r="932" s="7" customFormat="1" x14ac:dyDescent="0.25"/>
    <row r="933" s="7" customFormat="1" x14ac:dyDescent="0.25"/>
    <row r="934" s="7" customFormat="1" x14ac:dyDescent="0.25"/>
    <row r="935" s="7" customFormat="1" x14ac:dyDescent="0.25"/>
    <row r="936" s="7" customFormat="1" x14ac:dyDescent="0.25"/>
    <row r="937" s="7" customFormat="1" x14ac:dyDescent="0.25"/>
    <row r="938" s="7" customFormat="1" x14ac:dyDescent="0.25"/>
    <row r="939" s="7" customFormat="1" x14ac:dyDescent="0.25"/>
    <row r="940" s="7" customFormat="1" x14ac:dyDescent="0.25"/>
    <row r="941" s="7" customFormat="1" x14ac:dyDescent="0.25"/>
    <row r="942" s="7" customFormat="1" x14ac:dyDescent="0.25"/>
    <row r="943" s="7" customFormat="1" x14ac:dyDescent="0.25"/>
    <row r="944" s="7" customFormat="1" x14ac:dyDescent="0.25"/>
    <row r="945" s="7" customFormat="1" x14ac:dyDescent="0.25"/>
    <row r="946" s="7" customFormat="1" x14ac:dyDescent="0.25"/>
    <row r="947" s="7" customFormat="1" x14ac:dyDescent="0.25"/>
    <row r="948" s="7" customFormat="1" x14ac:dyDescent="0.25"/>
    <row r="949" s="7" customFormat="1" x14ac:dyDescent="0.25"/>
    <row r="950" s="7" customFormat="1" x14ac:dyDescent="0.25"/>
    <row r="951" s="7" customFormat="1" x14ac:dyDescent="0.25"/>
    <row r="952" s="7" customFormat="1" x14ac:dyDescent="0.25"/>
    <row r="953" s="7" customFormat="1" x14ac:dyDescent="0.25"/>
    <row r="954" s="7" customFormat="1" x14ac:dyDescent="0.25"/>
    <row r="955" s="7" customFormat="1" x14ac:dyDescent="0.25"/>
    <row r="956" s="7" customFormat="1" x14ac:dyDescent="0.25"/>
    <row r="957" s="7" customFormat="1" x14ac:dyDescent="0.25"/>
    <row r="958" s="7" customFormat="1" x14ac:dyDescent="0.25"/>
    <row r="959" s="7" customFormat="1" x14ac:dyDescent="0.25"/>
    <row r="960" s="7" customFormat="1" x14ac:dyDescent="0.25"/>
    <row r="961" s="7" customFormat="1" x14ac:dyDescent="0.25"/>
    <row r="962" s="7" customFormat="1" x14ac:dyDescent="0.25"/>
    <row r="963" s="7" customFormat="1" x14ac:dyDescent="0.25"/>
    <row r="964" s="7" customFormat="1" x14ac:dyDescent="0.25"/>
    <row r="965" s="7" customFormat="1" x14ac:dyDescent="0.25"/>
    <row r="966" s="7" customFormat="1" x14ac:dyDescent="0.25"/>
    <row r="967" s="7" customFormat="1" x14ac:dyDescent="0.25"/>
    <row r="968" s="7" customFormat="1" x14ac:dyDescent="0.25"/>
    <row r="969" s="7" customFormat="1" x14ac:dyDescent="0.25"/>
    <row r="970" s="7" customFormat="1" x14ac:dyDescent="0.25"/>
    <row r="971" s="7" customFormat="1" x14ac:dyDescent="0.25"/>
    <row r="972" s="7" customFormat="1" x14ac:dyDescent="0.25"/>
    <row r="973" s="7" customFormat="1" x14ac:dyDescent="0.25"/>
    <row r="974" s="7" customFormat="1" x14ac:dyDescent="0.25"/>
    <row r="975" s="7" customFormat="1" x14ac:dyDescent="0.25"/>
    <row r="976" s="7" customFormat="1" x14ac:dyDescent="0.25"/>
    <row r="977" s="7" customFormat="1" x14ac:dyDescent="0.25"/>
    <row r="978" s="7" customFormat="1" x14ac:dyDescent="0.25"/>
    <row r="979" s="7" customFormat="1" x14ac:dyDescent="0.25"/>
    <row r="980" s="7" customFormat="1" x14ac:dyDescent="0.25"/>
    <row r="981" s="7" customFormat="1" x14ac:dyDescent="0.25"/>
    <row r="982" s="7" customFormat="1" x14ac:dyDescent="0.25"/>
    <row r="983" s="7" customFormat="1" x14ac:dyDescent="0.25"/>
    <row r="984" s="7" customFormat="1" x14ac:dyDescent="0.25"/>
    <row r="985" s="7" customFormat="1" x14ac:dyDescent="0.25"/>
    <row r="986" s="7" customFormat="1" x14ac:dyDescent="0.25"/>
    <row r="987" s="7" customFormat="1" x14ac:dyDescent="0.25"/>
    <row r="988" s="7" customFormat="1" x14ac:dyDescent="0.25"/>
    <row r="989" s="7" customFormat="1" x14ac:dyDescent="0.25"/>
    <row r="990" s="7" customFormat="1" x14ac:dyDescent="0.25"/>
    <row r="991" s="7" customFormat="1" x14ac:dyDescent="0.25"/>
    <row r="992" s="7" customFormat="1" x14ac:dyDescent="0.25"/>
    <row r="993" s="7" customFormat="1" x14ac:dyDescent="0.25"/>
    <row r="994" s="7" customFormat="1" x14ac:dyDescent="0.25"/>
    <row r="995" s="7" customFormat="1" x14ac:dyDescent="0.25"/>
    <row r="996" s="7" customFormat="1" x14ac:dyDescent="0.25"/>
    <row r="997" s="7" customFormat="1" x14ac:dyDescent="0.25"/>
    <row r="998" s="7" customFormat="1" x14ac:dyDescent="0.25"/>
    <row r="999" s="7" customFormat="1" x14ac:dyDescent="0.25"/>
    <row r="1000" s="7" customFormat="1" x14ac:dyDescent="0.25"/>
    <row r="1001" s="7" customFormat="1" x14ac:dyDescent="0.25"/>
    <row r="1002" s="7" customFormat="1" x14ac:dyDescent="0.25"/>
    <row r="1003" s="7" customFormat="1" x14ac:dyDescent="0.25"/>
    <row r="1004" s="7" customFormat="1" x14ac:dyDescent="0.25"/>
    <row r="1005" s="7" customFormat="1" x14ac:dyDescent="0.25"/>
    <row r="1006" s="7" customFormat="1" x14ac:dyDescent="0.25"/>
    <row r="1007" s="7" customFormat="1" x14ac:dyDescent="0.25"/>
    <row r="1008" s="7" customFormat="1" x14ac:dyDescent="0.25"/>
    <row r="1009" s="7" customFormat="1" x14ac:dyDescent="0.25"/>
    <row r="1010" s="7" customFormat="1" x14ac:dyDescent="0.25"/>
    <row r="1011" s="7" customFormat="1" x14ac:dyDescent="0.25"/>
    <row r="1012" s="7" customFormat="1" x14ac:dyDescent="0.25"/>
    <row r="1013" s="7" customFormat="1" x14ac:dyDescent="0.25"/>
    <row r="1014" s="7" customFormat="1" x14ac:dyDescent="0.25"/>
    <row r="1015" s="7" customFormat="1" x14ac:dyDescent="0.25"/>
    <row r="1016" s="7" customFormat="1" x14ac:dyDescent="0.25"/>
    <row r="1017" s="7" customFormat="1" x14ac:dyDescent="0.25"/>
    <row r="1018" s="7" customFormat="1" x14ac:dyDescent="0.25"/>
    <row r="1019" s="7" customFormat="1" x14ac:dyDescent="0.25"/>
    <row r="1020" s="7" customFormat="1" x14ac:dyDescent="0.25"/>
    <row r="1021" s="7" customFormat="1" x14ac:dyDescent="0.25"/>
    <row r="1022" s="7" customFormat="1" x14ac:dyDescent="0.25"/>
    <row r="1023" s="7" customFormat="1" x14ac:dyDescent="0.25"/>
    <row r="1024" s="7" customFormat="1" x14ac:dyDescent="0.25"/>
    <row r="1025" s="7" customFormat="1" x14ac:dyDescent="0.25"/>
    <row r="1026" s="7" customFormat="1" x14ac:dyDescent="0.25"/>
    <row r="1027" s="7" customFormat="1" x14ac:dyDescent="0.25"/>
    <row r="1028" s="7" customFormat="1" x14ac:dyDescent="0.25"/>
    <row r="1029" s="7" customFormat="1" x14ac:dyDescent="0.25"/>
    <row r="1030" s="7" customFormat="1" x14ac:dyDescent="0.25"/>
    <row r="1031" s="7" customFormat="1" x14ac:dyDescent="0.25"/>
    <row r="1032" s="7" customFormat="1" x14ac:dyDescent="0.25"/>
    <row r="1033" s="7" customFormat="1" x14ac:dyDescent="0.25"/>
    <row r="1034" s="7" customFormat="1" x14ac:dyDescent="0.25"/>
    <row r="1035" s="7" customFormat="1" x14ac:dyDescent="0.25"/>
    <row r="1036" s="7" customFormat="1" x14ac:dyDescent="0.25"/>
    <row r="1037" s="7" customFormat="1" x14ac:dyDescent="0.25"/>
    <row r="1038" s="7" customFormat="1" x14ac:dyDescent="0.25"/>
    <row r="1039" s="7" customFormat="1" x14ac:dyDescent="0.25"/>
    <row r="1040" s="7" customFormat="1" x14ac:dyDescent="0.25"/>
    <row r="1041" s="7" customFormat="1" x14ac:dyDescent="0.25"/>
    <row r="1042" s="7" customFormat="1" x14ac:dyDescent="0.25"/>
    <row r="1043" s="7" customFormat="1" x14ac:dyDescent="0.25"/>
    <row r="1044" s="7" customFormat="1" x14ac:dyDescent="0.25"/>
    <row r="1045" s="7" customFormat="1" x14ac:dyDescent="0.25"/>
    <row r="1046" s="7" customFormat="1" x14ac:dyDescent="0.25"/>
    <row r="1047" s="7" customFormat="1" x14ac:dyDescent="0.25"/>
    <row r="1048" s="7" customFormat="1" x14ac:dyDescent="0.25"/>
    <row r="1049" s="7" customFormat="1" x14ac:dyDescent="0.25"/>
    <row r="1050" s="7" customFormat="1" x14ac:dyDescent="0.25"/>
    <row r="1051" s="7" customFormat="1" x14ac:dyDescent="0.25"/>
    <row r="1052" s="7" customFormat="1" x14ac:dyDescent="0.25"/>
    <row r="1053" s="7" customFormat="1" x14ac:dyDescent="0.25"/>
    <row r="1054" s="7" customFormat="1" x14ac:dyDescent="0.25"/>
    <row r="1055" s="7" customFormat="1" x14ac:dyDescent="0.25"/>
    <row r="1056" s="7" customFormat="1" x14ac:dyDescent="0.25"/>
    <row r="1057" s="7" customFormat="1" x14ac:dyDescent="0.25"/>
    <row r="1058" s="7" customFormat="1" x14ac:dyDescent="0.25"/>
    <row r="1059" s="7" customFormat="1" x14ac:dyDescent="0.25"/>
    <row r="1060" s="7" customFormat="1" x14ac:dyDescent="0.25"/>
    <row r="1061" s="7" customFormat="1" x14ac:dyDescent="0.25"/>
    <row r="1062" s="7" customFormat="1" x14ac:dyDescent="0.25"/>
    <row r="1063" s="7" customFormat="1" x14ac:dyDescent="0.25"/>
    <row r="1064" s="7" customFormat="1" x14ac:dyDescent="0.25"/>
    <row r="1065" s="7" customFormat="1" x14ac:dyDescent="0.25"/>
    <row r="1066" s="7" customFormat="1" x14ac:dyDescent="0.25"/>
    <row r="1067" s="7" customFormat="1" x14ac:dyDescent="0.25"/>
    <row r="1068" s="7" customFormat="1" x14ac:dyDescent="0.25"/>
    <row r="1069" s="7" customFormat="1" x14ac:dyDescent="0.25"/>
    <row r="1070" s="7" customFormat="1" x14ac:dyDescent="0.25"/>
    <row r="1071" s="7" customFormat="1" x14ac:dyDescent="0.25"/>
    <row r="1072" s="7" customFormat="1" x14ac:dyDescent="0.25"/>
    <row r="1073" s="7" customFormat="1" x14ac:dyDescent="0.25"/>
    <row r="1074" s="7" customFormat="1" x14ac:dyDescent="0.25"/>
    <row r="1075" s="7" customFormat="1" x14ac:dyDescent="0.25"/>
    <row r="1076" s="7" customFormat="1" x14ac:dyDescent="0.25"/>
    <row r="1077" s="7" customFormat="1" x14ac:dyDescent="0.25"/>
    <row r="1078" s="7" customFormat="1" x14ac:dyDescent="0.25"/>
    <row r="1079" s="7" customFormat="1" x14ac:dyDescent="0.25"/>
    <row r="1080" s="7" customFormat="1" x14ac:dyDescent="0.25"/>
    <row r="1081" s="7" customFormat="1" x14ac:dyDescent="0.25"/>
    <row r="1082" s="7" customFormat="1" x14ac:dyDescent="0.25"/>
    <row r="1083" s="7" customFormat="1" x14ac:dyDescent="0.25"/>
    <row r="1084" s="7" customFormat="1" x14ac:dyDescent="0.25"/>
    <row r="1085" s="7" customFormat="1" x14ac:dyDescent="0.25"/>
    <row r="1086" s="7" customFormat="1" x14ac:dyDescent="0.25"/>
    <row r="1087" s="7" customFormat="1" x14ac:dyDescent="0.25"/>
    <row r="1088" s="7" customFormat="1" x14ac:dyDescent="0.25"/>
    <row r="1089" s="7" customFormat="1" x14ac:dyDescent="0.25"/>
    <row r="1090" s="7" customFormat="1" x14ac:dyDescent="0.25"/>
    <row r="1091" s="7" customFormat="1" x14ac:dyDescent="0.25"/>
    <row r="1092" s="7" customFormat="1" x14ac:dyDescent="0.25"/>
    <row r="1093" s="7" customFormat="1" x14ac:dyDescent="0.25"/>
    <row r="1094" s="7" customFormat="1" x14ac:dyDescent="0.25"/>
    <row r="1095" s="7" customFormat="1" x14ac:dyDescent="0.25"/>
    <row r="1096" s="7" customFormat="1" x14ac:dyDescent="0.25"/>
    <row r="1097" s="7" customFormat="1" x14ac:dyDescent="0.25"/>
    <row r="1098" s="7" customFormat="1" x14ac:dyDescent="0.25"/>
    <row r="1099" s="7" customFormat="1" x14ac:dyDescent="0.25"/>
    <row r="1100" s="7" customFormat="1" x14ac:dyDescent="0.25"/>
    <row r="1101" s="7" customFormat="1" x14ac:dyDescent="0.25"/>
    <row r="1102" s="7" customFormat="1" x14ac:dyDescent="0.25"/>
    <row r="1103" s="7" customFormat="1" x14ac:dyDescent="0.25"/>
    <row r="1104" s="7" customFormat="1" x14ac:dyDescent="0.25"/>
    <row r="1105" s="7" customFormat="1" x14ac:dyDescent="0.25"/>
    <row r="1106" s="7" customFormat="1" x14ac:dyDescent="0.25"/>
    <row r="1107" s="7" customFormat="1" x14ac:dyDescent="0.25"/>
    <row r="1108" s="7" customFormat="1" x14ac:dyDescent="0.25"/>
    <row r="1109" s="7" customFormat="1" x14ac:dyDescent="0.25"/>
    <row r="1110" s="7" customFormat="1" x14ac:dyDescent="0.25"/>
    <row r="1111" s="7" customFormat="1" x14ac:dyDescent="0.25"/>
    <row r="1112" s="7" customFormat="1" x14ac:dyDescent="0.25"/>
    <row r="1113" s="7" customFormat="1" x14ac:dyDescent="0.25"/>
    <row r="1114" s="7" customFormat="1" x14ac:dyDescent="0.25"/>
    <row r="1115" s="7" customFormat="1" x14ac:dyDescent="0.25"/>
    <row r="1116" s="7" customFormat="1" x14ac:dyDescent="0.25"/>
    <row r="1117" s="7" customFormat="1" x14ac:dyDescent="0.25"/>
    <row r="1118" s="7" customFormat="1" x14ac:dyDescent="0.25"/>
    <row r="1119" s="7" customFormat="1" x14ac:dyDescent="0.25"/>
    <row r="1120" s="7" customFormat="1" x14ac:dyDescent="0.25"/>
    <row r="1121" s="7" customFormat="1" x14ac:dyDescent="0.25"/>
    <row r="1122" s="7" customFormat="1" x14ac:dyDescent="0.25"/>
    <row r="1123" s="7" customFormat="1" x14ac:dyDescent="0.25"/>
    <row r="1124" s="7" customFormat="1" x14ac:dyDescent="0.25"/>
    <row r="1125" s="7" customFormat="1" x14ac:dyDescent="0.25"/>
    <row r="1126" s="7" customFormat="1" x14ac:dyDescent="0.25"/>
    <row r="1127" s="7" customFormat="1" x14ac:dyDescent="0.25"/>
    <row r="1128" s="7" customFormat="1" x14ac:dyDescent="0.25"/>
    <row r="1129" s="7" customFormat="1" x14ac:dyDescent="0.25"/>
    <row r="1130" s="7" customFormat="1" x14ac:dyDescent="0.25"/>
    <row r="1131" s="7" customFormat="1" x14ac:dyDescent="0.25"/>
    <row r="1132" s="7" customFormat="1" x14ac:dyDescent="0.25"/>
    <row r="1133" s="7" customFormat="1" x14ac:dyDescent="0.25"/>
    <row r="1134" s="7" customFormat="1" x14ac:dyDescent="0.25"/>
    <row r="1135" s="7" customFormat="1" x14ac:dyDescent="0.25"/>
    <row r="1136" s="7" customFormat="1" x14ac:dyDescent="0.25"/>
    <row r="1137" s="7" customFormat="1" x14ac:dyDescent="0.25"/>
    <row r="1138" s="7" customFormat="1" x14ac:dyDescent="0.25"/>
    <row r="1139" s="7" customFormat="1" x14ac:dyDescent="0.25"/>
    <row r="1140" s="7" customFormat="1" x14ac:dyDescent="0.25"/>
    <row r="1141" s="7" customFormat="1" x14ac:dyDescent="0.25"/>
    <row r="1142" s="7" customFormat="1" x14ac:dyDescent="0.25"/>
    <row r="1143" s="7" customFormat="1" x14ac:dyDescent="0.25"/>
    <row r="1144" s="7" customFormat="1" x14ac:dyDescent="0.25"/>
    <row r="1145" s="7" customFormat="1" x14ac:dyDescent="0.25"/>
    <row r="1146" s="7" customFormat="1" x14ac:dyDescent="0.25"/>
    <row r="1147" s="7" customFormat="1" x14ac:dyDescent="0.25"/>
    <row r="1148" s="7" customFormat="1" x14ac:dyDescent="0.25"/>
    <row r="1149" s="7" customFormat="1" x14ac:dyDescent="0.25"/>
    <row r="1150" s="7" customFormat="1" x14ac:dyDescent="0.25"/>
    <row r="1151" s="7" customFormat="1" x14ac:dyDescent="0.25"/>
    <row r="1152" s="7" customFormat="1" x14ac:dyDescent="0.25"/>
    <row r="1153" s="7" customFormat="1" x14ac:dyDescent="0.25"/>
    <row r="1154" s="7" customFormat="1" x14ac:dyDescent="0.25"/>
    <row r="1155" s="7" customFormat="1" x14ac:dyDescent="0.25"/>
    <row r="1156" s="7" customFormat="1" x14ac:dyDescent="0.25"/>
    <row r="1157" s="7" customFormat="1" x14ac:dyDescent="0.25"/>
    <row r="1158" s="7" customFormat="1" x14ac:dyDescent="0.25"/>
    <row r="1159" s="7" customFormat="1" x14ac:dyDescent="0.25"/>
    <row r="1160" s="7" customFormat="1" x14ac:dyDescent="0.25"/>
    <row r="1161" s="7" customFormat="1" x14ac:dyDescent="0.25"/>
    <row r="1162" s="7" customFormat="1" x14ac:dyDescent="0.25"/>
    <row r="1163" s="7" customFormat="1" x14ac:dyDescent="0.25"/>
    <row r="1164" s="7" customFormat="1" x14ac:dyDescent="0.25"/>
    <row r="1165" s="7" customFormat="1" x14ac:dyDescent="0.25"/>
    <row r="1166" s="7" customFormat="1" x14ac:dyDescent="0.25"/>
    <row r="1167" s="7" customFormat="1" x14ac:dyDescent="0.25"/>
    <row r="1168" s="7" customFormat="1" x14ac:dyDescent="0.25"/>
    <row r="1169" s="7" customFormat="1" x14ac:dyDescent="0.25"/>
    <row r="1170" s="7" customFormat="1" x14ac:dyDescent="0.25"/>
    <row r="1171" s="7" customFormat="1" x14ac:dyDescent="0.25"/>
    <row r="1172" s="7" customFormat="1" x14ac:dyDescent="0.25"/>
    <row r="1173" s="7" customFormat="1" x14ac:dyDescent="0.25"/>
    <row r="1174" s="7" customFormat="1" x14ac:dyDescent="0.25"/>
    <row r="1175" s="7" customFormat="1" x14ac:dyDescent="0.25"/>
    <row r="1176" s="7" customFormat="1" x14ac:dyDescent="0.25"/>
    <row r="1177" s="7" customFormat="1" x14ac:dyDescent="0.25"/>
    <row r="1178" s="7" customFormat="1" x14ac:dyDescent="0.25"/>
    <row r="1179" s="7" customFormat="1" x14ac:dyDescent="0.25"/>
    <row r="1180" s="7" customFormat="1" x14ac:dyDescent="0.25"/>
    <row r="1181" s="7" customFormat="1" x14ac:dyDescent="0.25"/>
    <row r="1182" s="7" customFormat="1" x14ac:dyDescent="0.25"/>
    <row r="1183" s="7" customFormat="1" x14ac:dyDescent="0.25"/>
    <row r="1184" s="7" customFormat="1" x14ac:dyDescent="0.25"/>
    <row r="1185" s="7" customFormat="1" x14ac:dyDescent="0.25"/>
    <row r="1186" s="7" customFormat="1" x14ac:dyDescent="0.25"/>
    <row r="1187" s="7" customFormat="1" x14ac:dyDescent="0.25"/>
    <row r="1188" s="7" customFormat="1" x14ac:dyDescent="0.25"/>
    <row r="1189" s="7" customFormat="1" x14ac:dyDescent="0.25"/>
    <row r="1190" s="7" customFormat="1" x14ac:dyDescent="0.25"/>
    <row r="1191" s="7" customFormat="1" x14ac:dyDescent="0.25"/>
    <row r="1192" s="7" customFormat="1" x14ac:dyDescent="0.25"/>
    <row r="1193" s="7" customFormat="1" x14ac:dyDescent="0.25"/>
    <row r="1194" s="7" customFormat="1" x14ac:dyDescent="0.25"/>
    <row r="1195" s="7" customFormat="1" x14ac:dyDescent="0.25"/>
    <row r="1196" s="7" customFormat="1" x14ac:dyDescent="0.25"/>
    <row r="1197" s="7" customFormat="1" x14ac:dyDescent="0.25"/>
    <row r="1198" s="7" customFormat="1" x14ac:dyDescent="0.25"/>
    <row r="1199" s="7" customFormat="1" x14ac:dyDescent="0.25"/>
    <row r="1200" s="7" customFormat="1" x14ac:dyDescent="0.25"/>
    <row r="1201" s="7" customFormat="1" x14ac:dyDescent="0.25"/>
    <row r="1202" s="7" customFormat="1" x14ac:dyDescent="0.25"/>
    <row r="1203" s="7" customFormat="1" x14ac:dyDescent="0.25"/>
    <row r="1204" s="7" customFormat="1" x14ac:dyDescent="0.25"/>
    <row r="1205" s="7" customFormat="1" x14ac:dyDescent="0.25"/>
    <row r="1206" s="7" customFormat="1" x14ac:dyDescent="0.25"/>
    <row r="1207" s="7" customFormat="1" x14ac:dyDescent="0.25"/>
    <row r="1208" s="7" customFormat="1" x14ac:dyDescent="0.25"/>
    <row r="1209" s="7" customFormat="1" x14ac:dyDescent="0.25"/>
    <row r="1210" s="7" customFormat="1" x14ac:dyDescent="0.25"/>
    <row r="1211" s="7" customFormat="1" x14ac:dyDescent="0.25"/>
    <row r="1212" s="7" customFormat="1" x14ac:dyDescent="0.25"/>
    <row r="1213" s="7" customFormat="1" x14ac:dyDescent="0.25"/>
    <row r="1214" s="7" customFormat="1" x14ac:dyDescent="0.25"/>
    <row r="1215" s="7" customFormat="1" x14ac:dyDescent="0.25"/>
    <row r="1216" s="7" customFormat="1" x14ac:dyDescent="0.25"/>
    <row r="1217" s="7" customFormat="1" x14ac:dyDescent="0.25"/>
    <row r="1218" s="7" customFormat="1" x14ac:dyDescent="0.25"/>
    <row r="1219" s="7" customFormat="1" x14ac:dyDescent="0.25"/>
    <row r="1220" s="7" customFormat="1" x14ac:dyDescent="0.25"/>
    <row r="1221" s="7" customFormat="1" x14ac:dyDescent="0.25"/>
    <row r="1222" s="7" customFormat="1" x14ac:dyDescent="0.25"/>
    <row r="1223" s="7" customFormat="1" x14ac:dyDescent="0.25"/>
    <row r="1224" s="7" customFormat="1" x14ac:dyDescent="0.25"/>
    <row r="1225" s="7" customFormat="1" x14ac:dyDescent="0.25"/>
    <row r="1226" s="7" customFormat="1" x14ac:dyDescent="0.25"/>
    <row r="1227" s="7" customFormat="1" x14ac:dyDescent="0.25"/>
    <row r="1228" s="7" customFormat="1" x14ac:dyDescent="0.25"/>
    <row r="1229" s="7" customFormat="1" x14ac:dyDescent="0.25"/>
    <row r="1230" s="7" customFormat="1" x14ac:dyDescent="0.25"/>
    <row r="1231" s="7" customFormat="1" x14ac:dyDescent="0.25"/>
    <row r="1232" s="7" customFormat="1" x14ac:dyDescent="0.25"/>
    <row r="1233" s="7" customFormat="1" x14ac:dyDescent="0.25"/>
    <row r="1234" s="7" customFormat="1" x14ac:dyDescent="0.25"/>
    <row r="1235" s="7" customFormat="1" x14ac:dyDescent="0.25"/>
    <row r="1236" s="7" customFormat="1" x14ac:dyDescent="0.25"/>
    <row r="1237" s="7" customFormat="1" x14ac:dyDescent="0.25"/>
    <row r="1238" s="7" customFormat="1" x14ac:dyDescent="0.25"/>
    <row r="1239" s="7" customFormat="1" x14ac:dyDescent="0.25"/>
    <row r="1240" s="7" customFormat="1" x14ac:dyDescent="0.25"/>
    <row r="1241" s="7" customFormat="1" x14ac:dyDescent="0.25"/>
    <row r="1242" s="7" customFormat="1" x14ac:dyDescent="0.25"/>
    <row r="1243" s="7" customFormat="1" x14ac:dyDescent="0.25"/>
    <row r="1244" s="7" customFormat="1" x14ac:dyDescent="0.25"/>
    <row r="1245" s="7" customFormat="1" x14ac:dyDescent="0.25"/>
    <row r="1246" s="7" customFormat="1" x14ac:dyDescent="0.25"/>
    <row r="1247" s="7" customFormat="1" x14ac:dyDescent="0.25"/>
    <row r="1248" s="7" customFormat="1" x14ac:dyDescent="0.25"/>
    <row r="1249" s="7" customFormat="1" x14ac:dyDescent="0.25"/>
    <row r="1250" s="7" customFormat="1" x14ac:dyDescent="0.25"/>
    <row r="1251" s="7" customFormat="1" x14ac:dyDescent="0.25"/>
    <row r="1252" s="7" customFormat="1" x14ac:dyDescent="0.25"/>
    <row r="1253" s="7" customFormat="1" x14ac:dyDescent="0.25"/>
    <row r="1254" s="7" customFormat="1" x14ac:dyDescent="0.25"/>
    <row r="1255" s="7" customFormat="1" x14ac:dyDescent="0.25"/>
    <row r="1256" s="7" customFormat="1" x14ac:dyDescent="0.25"/>
    <row r="1257" s="7" customFormat="1" x14ac:dyDescent="0.25"/>
    <row r="1258" s="7" customFormat="1" x14ac:dyDescent="0.25"/>
    <row r="1259" s="7" customFormat="1" x14ac:dyDescent="0.25"/>
    <row r="1260" s="7" customFormat="1" x14ac:dyDescent="0.25"/>
    <row r="1261" s="7" customFormat="1" x14ac:dyDescent="0.25"/>
    <row r="1262" s="7" customFormat="1" x14ac:dyDescent="0.25"/>
    <row r="1263" s="7" customFormat="1" x14ac:dyDescent="0.25"/>
    <row r="1264" s="7" customFormat="1" x14ac:dyDescent="0.25"/>
    <row r="1265" s="7" customFormat="1" x14ac:dyDescent="0.25"/>
    <row r="1266" s="7" customFormat="1" x14ac:dyDescent="0.25"/>
    <row r="1267" s="7" customFormat="1" x14ac:dyDescent="0.25"/>
    <row r="1268" s="7" customFormat="1" x14ac:dyDescent="0.25"/>
    <row r="1269" s="7" customFormat="1" x14ac:dyDescent="0.25"/>
    <row r="1270" s="7" customFormat="1" x14ac:dyDescent="0.25"/>
    <row r="1271" s="7" customFormat="1" x14ac:dyDescent="0.25"/>
    <row r="1272" s="7" customFormat="1" x14ac:dyDescent="0.25"/>
    <row r="1273" s="7" customFormat="1" x14ac:dyDescent="0.25"/>
    <row r="1274" s="7" customFormat="1" x14ac:dyDescent="0.25"/>
    <row r="1275" s="7" customFormat="1" x14ac:dyDescent="0.25"/>
    <row r="1276" s="7" customFormat="1" x14ac:dyDescent="0.25"/>
    <row r="1277" s="7" customFormat="1" x14ac:dyDescent="0.25"/>
    <row r="1278" s="7" customFormat="1" x14ac:dyDescent="0.25"/>
    <row r="1279" s="7" customFormat="1" x14ac:dyDescent="0.25"/>
    <row r="1280" s="7" customFormat="1" x14ac:dyDescent="0.25"/>
    <row r="1281" s="7" customFormat="1" x14ac:dyDescent="0.25"/>
    <row r="1282" s="7" customFormat="1" x14ac:dyDescent="0.25"/>
    <row r="1283" s="7" customFormat="1" x14ac:dyDescent="0.25"/>
    <row r="1284" s="7" customFormat="1" x14ac:dyDescent="0.25"/>
    <row r="1285" s="7" customFormat="1" x14ac:dyDescent="0.25"/>
    <row r="1286" s="7" customFormat="1" x14ac:dyDescent="0.25"/>
    <row r="1287" s="7" customFormat="1" x14ac:dyDescent="0.25"/>
    <row r="1288" s="7" customFormat="1" x14ac:dyDescent="0.25"/>
    <row r="1289" s="7" customFormat="1" x14ac:dyDescent="0.25"/>
    <row r="1290" s="7" customFormat="1" x14ac:dyDescent="0.25"/>
    <row r="1291" s="7" customFormat="1" x14ac:dyDescent="0.25"/>
    <row r="1292" s="7" customFormat="1" x14ac:dyDescent="0.25"/>
    <row r="1293" s="7" customFormat="1" x14ac:dyDescent="0.25"/>
    <row r="1294" s="7" customFormat="1" x14ac:dyDescent="0.25"/>
    <row r="1295" s="7" customFormat="1" x14ac:dyDescent="0.25"/>
    <row r="1296" s="7" customFormat="1" x14ac:dyDescent="0.25"/>
    <row r="1297" s="7" customFormat="1" x14ac:dyDescent="0.25"/>
    <row r="1298" s="7" customFormat="1" x14ac:dyDescent="0.25"/>
    <row r="1299" s="7" customFormat="1" x14ac:dyDescent="0.25"/>
    <row r="1300" s="7" customFormat="1" x14ac:dyDescent="0.25"/>
    <row r="1301" s="7" customFormat="1" x14ac:dyDescent="0.25"/>
    <row r="1302" s="7" customFormat="1" x14ac:dyDescent="0.25"/>
    <row r="1303" s="7" customFormat="1" x14ac:dyDescent="0.25"/>
    <row r="1304" s="7" customFormat="1" x14ac:dyDescent="0.25"/>
    <row r="1305" s="7" customFormat="1" x14ac:dyDescent="0.25"/>
    <row r="1306" s="7" customFormat="1" x14ac:dyDescent="0.25"/>
    <row r="1307" s="7" customFormat="1" x14ac:dyDescent="0.25"/>
    <row r="1308" s="7" customFormat="1" x14ac:dyDescent="0.25"/>
    <row r="1309" s="7" customFormat="1" x14ac:dyDescent="0.25"/>
    <row r="1310" s="7" customFormat="1" x14ac:dyDescent="0.25"/>
    <row r="1311" s="7" customFormat="1" x14ac:dyDescent="0.25"/>
    <row r="1312" s="7" customFormat="1" x14ac:dyDescent="0.25"/>
    <row r="1313" s="7" customFormat="1" x14ac:dyDescent="0.25"/>
    <row r="1314" s="7" customFormat="1" x14ac:dyDescent="0.25"/>
    <row r="1315" s="7" customFormat="1" x14ac:dyDescent="0.25"/>
    <row r="1316" s="7" customFormat="1" x14ac:dyDescent="0.25"/>
    <row r="1317" s="7" customFormat="1" x14ac:dyDescent="0.25"/>
    <row r="1318" s="7" customFormat="1" x14ac:dyDescent="0.25"/>
    <row r="1319" s="7" customFormat="1" x14ac:dyDescent="0.25"/>
    <row r="1320" s="7" customFormat="1" x14ac:dyDescent="0.25"/>
    <row r="1321" s="7" customFormat="1" x14ac:dyDescent="0.25"/>
    <row r="1322" s="7" customFormat="1" x14ac:dyDescent="0.25"/>
    <row r="1323" s="7" customFormat="1" x14ac:dyDescent="0.25"/>
    <row r="1324" s="7" customFormat="1" x14ac:dyDescent="0.25"/>
    <row r="1325" s="7" customFormat="1" x14ac:dyDescent="0.25"/>
    <row r="1326" s="7" customFormat="1" x14ac:dyDescent="0.25"/>
    <row r="1327" s="7" customFormat="1" x14ac:dyDescent="0.25"/>
    <row r="1328" s="7" customFormat="1" x14ac:dyDescent="0.25"/>
    <row r="1329" s="7" customFormat="1" x14ac:dyDescent="0.25"/>
    <row r="1330" s="7" customFormat="1" x14ac:dyDescent="0.25"/>
    <row r="1331" s="7" customFormat="1" x14ac:dyDescent="0.25"/>
    <row r="1332" s="7" customFormat="1" x14ac:dyDescent="0.25"/>
    <row r="1333" s="7" customFormat="1" x14ac:dyDescent="0.25"/>
    <row r="1334" s="7" customFormat="1" x14ac:dyDescent="0.25"/>
    <row r="1335" s="7" customFormat="1" x14ac:dyDescent="0.25"/>
    <row r="1336" s="7" customFormat="1" x14ac:dyDescent="0.25"/>
    <row r="1337" s="7" customFormat="1" x14ac:dyDescent="0.25"/>
    <row r="1338" s="7" customFormat="1" x14ac:dyDescent="0.25"/>
    <row r="1339" s="7" customFormat="1" x14ac:dyDescent="0.25"/>
    <row r="1340" s="7" customFormat="1" x14ac:dyDescent="0.25"/>
    <row r="1341" s="7" customFormat="1" x14ac:dyDescent="0.25"/>
    <row r="1342" s="7" customFormat="1" x14ac:dyDescent="0.25"/>
    <row r="1343" s="7" customFormat="1" x14ac:dyDescent="0.25"/>
    <row r="1344" s="7" customFormat="1" x14ac:dyDescent="0.25"/>
    <row r="1345" s="7" customFormat="1" x14ac:dyDescent="0.25"/>
    <row r="1346" s="7" customFormat="1" x14ac:dyDescent="0.25"/>
    <row r="1347" s="7" customFormat="1" x14ac:dyDescent="0.25"/>
    <row r="1348" s="7" customFormat="1" x14ac:dyDescent="0.25"/>
    <row r="1349" s="7" customFormat="1" x14ac:dyDescent="0.25"/>
    <row r="1350" s="7" customFormat="1" x14ac:dyDescent="0.25"/>
    <row r="1351" s="7" customFormat="1" x14ac:dyDescent="0.25"/>
    <row r="1352" s="7" customFormat="1" x14ac:dyDescent="0.25"/>
    <row r="1353" s="7" customFormat="1" x14ac:dyDescent="0.25"/>
    <row r="1354" s="7" customFormat="1" x14ac:dyDescent="0.25"/>
    <row r="1355" s="7" customFormat="1" x14ac:dyDescent="0.25"/>
    <row r="1356" s="7" customFormat="1" x14ac:dyDescent="0.25"/>
    <row r="1357" s="7" customFormat="1" x14ac:dyDescent="0.25"/>
    <row r="1358" s="7" customFormat="1" x14ac:dyDescent="0.25"/>
    <row r="1359" s="7" customFormat="1" x14ac:dyDescent="0.25"/>
    <row r="1360" s="7" customFormat="1" x14ac:dyDescent="0.25"/>
    <row r="1361" s="7" customFormat="1" x14ac:dyDescent="0.25"/>
    <row r="1362" s="7" customFormat="1" x14ac:dyDescent="0.25"/>
    <row r="1363" s="7" customFormat="1" x14ac:dyDescent="0.25"/>
    <row r="1364" s="7" customFormat="1" x14ac:dyDescent="0.25"/>
    <row r="1365" s="7" customFormat="1" x14ac:dyDescent="0.25"/>
    <row r="1366" s="7" customFormat="1" x14ac:dyDescent="0.25"/>
    <row r="1367" s="7" customFormat="1" x14ac:dyDescent="0.25"/>
    <row r="1368" s="7" customFormat="1" x14ac:dyDescent="0.25"/>
    <row r="1369" s="7" customFormat="1" x14ac:dyDescent="0.25"/>
    <row r="1370" s="7" customFormat="1" x14ac:dyDescent="0.25"/>
    <row r="1371" s="7" customFormat="1" x14ac:dyDescent="0.25"/>
    <row r="1372" s="7" customFormat="1" x14ac:dyDescent="0.25"/>
    <row r="1373" s="7" customFormat="1" x14ac:dyDescent="0.25"/>
    <row r="1374" s="7" customFormat="1" x14ac:dyDescent="0.25"/>
    <row r="1375" s="7" customFormat="1" x14ac:dyDescent="0.25"/>
    <row r="1376" s="7" customFormat="1" x14ac:dyDescent="0.25"/>
    <row r="1377" s="7" customFormat="1" x14ac:dyDescent="0.25"/>
    <row r="1378" s="7" customFormat="1" x14ac:dyDescent="0.25"/>
    <row r="1379" s="7" customFormat="1" x14ac:dyDescent="0.25"/>
    <row r="1380" s="7" customFormat="1" x14ac:dyDescent="0.25"/>
    <row r="1381" s="7" customFormat="1" x14ac:dyDescent="0.25"/>
    <row r="1382" s="7" customFormat="1" x14ac:dyDescent="0.25"/>
    <row r="1383" s="7" customFormat="1" x14ac:dyDescent="0.25"/>
    <row r="1384" s="7" customFormat="1" x14ac:dyDescent="0.25"/>
    <row r="1385" s="7" customFormat="1" x14ac:dyDescent="0.25"/>
    <row r="1386" s="7" customFormat="1" x14ac:dyDescent="0.25"/>
    <row r="1387" s="7" customFormat="1" x14ac:dyDescent="0.25"/>
    <row r="1388" s="7" customFormat="1" x14ac:dyDescent="0.25"/>
    <row r="1389" s="7" customFormat="1" x14ac:dyDescent="0.25"/>
    <row r="1390" s="7" customFormat="1" x14ac:dyDescent="0.25"/>
    <row r="1391" s="7" customFormat="1" x14ac:dyDescent="0.25"/>
    <row r="1392" s="7" customFormat="1" x14ac:dyDescent="0.25"/>
    <row r="1393" s="7" customFormat="1" x14ac:dyDescent="0.25"/>
    <row r="1394" s="7" customFormat="1" x14ac:dyDescent="0.25"/>
    <row r="1395" s="7" customFormat="1" x14ac:dyDescent="0.25"/>
    <row r="1396" s="7" customFormat="1" x14ac:dyDescent="0.25"/>
    <row r="1397" s="7" customFormat="1" x14ac:dyDescent="0.25"/>
    <row r="1398" s="7" customFormat="1" x14ac:dyDescent="0.25"/>
    <row r="1399" s="7" customFormat="1" x14ac:dyDescent="0.25"/>
    <row r="1400" s="7" customFormat="1" x14ac:dyDescent="0.25"/>
    <row r="1401" s="7" customFormat="1" x14ac:dyDescent="0.25"/>
    <row r="1402" s="7" customFormat="1" x14ac:dyDescent="0.25"/>
    <row r="1403" s="7" customFormat="1" x14ac:dyDescent="0.25"/>
    <row r="1404" s="7" customFormat="1" x14ac:dyDescent="0.25"/>
    <row r="1405" s="7" customFormat="1" x14ac:dyDescent="0.25"/>
    <row r="1406" s="7" customFormat="1" x14ac:dyDescent="0.25"/>
    <row r="1407" s="7" customFormat="1" x14ac:dyDescent="0.25"/>
    <row r="1408" s="7" customFormat="1" x14ac:dyDescent="0.25"/>
    <row r="1409" s="7" customFormat="1" x14ac:dyDescent="0.25"/>
    <row r="1410" s="7" customFormat="1" x14ac:dyDescent="0.25"/>
    <row r="1411" s="7" customFormat="1" x14ac:dyDescent="0.25"/>
    <row r="1412" s="7" customFormat="1" x14ac:dyDescent="0.25"/>
    <row r="1413" s="7" customFormat="1" x14ac:dyDescent="0.25"/>
    <row r="1414" s="7" customFormat="1" x14ac:dyDescent="0.25"/>
    <row r="1415" s="7" customFormat="1" x14ac:dyDescent="0.25"/>
    <row r="1416" s="7" customFormat="1" x14ac:dyDescent="0.25"/>
    <row r="1417" s="7" customFormat="1" x14ac:dyDescent="0.25"/>
    <row r="1418" s="7" customFormat="1" x14ac:dyDescent="0.25"/>
    <row r="1419" s="7" customFormat="1" x14ac:dyDescent="0.25"/>
    <row r="1420" s="7" customFormat="1" x14ac:dyDescent="0.25"/>
    <row r="1421" s="7" customFormat="1" x14ac:dyDescent="0.25"/>
    <row r="1422" s="7" customFormat="1" x14ac:dyDescent="0.25"/>
    <row r="1423" s="7" customFormat="1" x14ac:dyDescent="0.25"/>
    <row r="1424" s="7" customFormat="1" x14ac:dyDescent="0.25"/>
    <row r="1425" s="7" customFormat="1" x14ac:dyDescent="0.25"/>
    <row r="1426" s="7" customFormat="1" x14ac:dyDescent="0.25"/>
    <row r="1427" s="7" customFormat="1" x14ac:dyDescent="0.25"/>
    <row r="1428" s="7" customFormat="1" x14ac:dyDescent="0.25"/>
    <row r="1429" s="7" customFormat="1" x14ac:dyDescent="0.25"/>
    <row r="1430" s="7" customFormat="1" x14ac:dyDescent="0.25"/>
    <row r="1431" s="7" customFormat="1" x14ac:dyDescent="0.25"/>
    <row r="1432" s="7" customFormat="1" x14ac:dyDescent="0.25"/>
    <row r="1433" s="7" customFormat="1" x14ac:dyDescent="0.25"/>
    <row r="1434" s="7" customFormat="1" x14ac:dyDescent="0.25"/>
    <row r="1435" s="7" customFormat="1" x14ac:dyDescent="0.25"/>
    <row r="1436" s="7" customFormat="1" x14ac:dyDescent="0.25"/>
    <row r="1437" s="7" customFormat="1" x14ac:dyDescent="0.25"/>
    <row r="1438" s="7" customFormat="1" x14ac:dyDescent="0.25"/>
    <row r="1439" s="7" customFormat="1" x14ac:dyDescent="0.25"/>
    <row r="1440" s="7" customFormat="1" x14ac:dyDescent="0.25"/>
    <row r="1441" s="7" customFormat="1" x14ac:dyDescent="0.25"/>
    <row r="1442" s="7" customFormat="1" x14ac:dyDescent="0.25"/>
    <row r="1443" s="7" customFormat="1" x14ac:dyDescent="0.25"/>
    <row r="1444" s="7" customFormat="1" x14ac:dyDescent="0.25"/>
    <row r="1445" s="7" customFormat="1" x14ac:dyDescent="0.25"/>
    <row r="1446" s="7" customFormat="1" x14ac:dyDescent="0.25"/>
    <row r="1447" s="7" customFormat="1" x14ac:dyDescent="0.25"/>
    <row r="1448" s="7" customFormat="1" x14ac:dyDescent="0.25"/>
    <row r="1449" s="7" customFormat="1" x14ac:dyDescent="0.25"/>
    <row r="1450" s="7" customFormat="1" x14ac:dyDescent="0.25"/>
    <row r="1451" s="7" customFormat="1" x14ac:dyDescent="0.25"/>
    <row r="1452" s="7" customFormat="1" x14ac:dyDescent="0.25"/>
    <row r="1453" s="7" customFormat="1" x14ac:dyDescent="0.25"/>
    <row r="1454" s="7" customFormat="1" x14ac:dyDescent="0.25"/>
    <row r="1455" s="7" customFormat="1" x14ac:dyDescent="0.25"/>
    <row r="1456" s="7" customFormat="1" x14ac:dyDescent="0.25"/>
    <row r="1457" s="7" customFormat="1" x14ac:dyDescent="0.25"/>
    <row r="1458" s="7" customFormat="1" x14ac:dyDescent="0.25"/>
    <row r="1459" s="7" customFormat="1" x14ac:dyDescent="0.25"/>
    <row r="1460" s="7" customFormat="1" x14ac:dyDescent="0.25"/>
    <row r="1461" s="7" customFormat="1" x14ac:dyDescent="0.25"/>
    <row r="1462" s="7" customFormat="1" x14ac:dyDescent="0.25"/>
    <row r="1463" s="7" customFormat="1" x14ac:dyDescent="0.25"/>
    <row r="1464" s="7" customFormat="1" x14ac:dyDescent="0.25"/>
    <row r="1465" s="7" customFormat="1" x14ac:dyDescent="0.25"/>
    <row r="1466" s="7" customFormat="1" x14ac:dyDescent="0.25"/>
    <row r="1467" s="7" customFormat="1" x14ac:dyDescent="0.25"/>
    <row r="1468" s="7" customFormat="1" x14ac:dyDescent="0.25"/>
    <row r="1469" s="7" customFormat="1" x14ac:dyDescent="0.25"/>
    <row r="1470" s="7" customFormat="1" x14ac:dyDescent="0.25"/>
    <row r="1471" s="7" customFormat="1" x14ac:dyDescent="0.25"/>
    <row r="1472" s="7" customFormat="1" x14ac:dyDescent="0.25"/>
    <row r="1473" s="7" customFormat="1" x14ac:dyDescent="0.25"/>
    <row r="1474" s="7" customFormat="1" x14ac:dyDescent="0.25"/>
    <row r="1475" s="7" customFormat="1" x14ac:dyDescent="0.25"/>
    <row r="1476" s="7" customFormat="1" x14ac:dyDescent="0.25"/>
    <row r="1477" s="7" customFormat="1" x14ac:dyDescent="0.25"/>
    <row r="1478" s="7" customFormat="1" x14ac:dyDescent="0.25"/>
    <row r="1479" s="7" customFormat="1" x14ac:dyDescent="0.25"/>
    <row r="1480" s="7" customFormat="1" x14ac:dyDescent="0.25"/>
    <row r="1481" s="7" customFormat="1" x14ac:dyDescent="0.25"/>
    <row r="1482" s="7" customFormat="1" x14ac:dyDescent="0.25"/>
    <row r="1483" s="7" customFormat="1" x14ac:dyDescent="0.25"/>
    <row r="1484" s="7" customFormat="1" x14ac:dyDescent="0.25"/>
    <row r="1485" s="7" customFormat="1" x14ac:dyDescent="0.25"/>
    <row r="1486" s="7" customFormat="1" x14ac:dyDescent="0.25"/>
    <row r="1487" s="7" customFormat="1" x14ac:dyDescent="0.25"/>
    <row r="1488" s="7" customFormat="1" x14ac:dyDescent="0.25"/>
    <row r="1489" s="7" customFormat="1" x14ac:dyDescent="0.25"/>
    <row r="1490" s="7" customFormat="1" x14ac:dyDescent="0.25"/>
    <row r="1491" s="7" customFormat="1" x14ac:dyDescent="0.25"/>
    <row r="1492" s="7" customFormat="1" x14ac:dyDescent="0.25"/>
    <row r="1493" s="7" customFormat="1" x14ac:dyDescent="0.25"/>
    <row r="1494" s="7" customFormat="1" x14ac:dyDescent="0.25"/>
    <row r="1495" s="7" customFormat="1" x14ac:dyDescent="0.25"/>
    <row r="1496" s="7" customFormat="1" x14ac:dyDescent="0.25"/>
    <row r="1497" s="7" customFormat="1" x14ac:dyDescent="0.25"/>
    <row r="1498" s="7" customFormat="1" x14ac:dyDescent="0.25"/>
    <row r="1499" s="7" customFormat="1" x14ac:dyDescent="0.25"/>
    <row r="1500" s="7" customFormat="1" x14ac:dyDescent="0.25"/>
    <row r="1501" s="7" customFormat="1" x14ac:dyDescent="0.25"/>
    <row r="1502" s="7" customFormat="1" x14ac:dyDescent="0.25"/>
    <row r="1503" s="7" customFormat="1" x14ac:dyDescent="0.25"/>
    <row r="1504" s="7" customFormat="1" x14ac:dyDescent="0.25"/>
    <row r="1505" s="7" customFormat="1" x14ac:dyDescent="0.25"/>
    <row r="1506" s="7" customFormat="1" x14ac:dyDescent="0.25"/>
    <row r="1507" s="7" customFormat="1" x14ac:dyDescent="0.25"/>
    <row r="1508" s="7" customFormat="1" x14ac:dyDescent="0.25"/>
    <row r="1509" s="7" customFormat="1" x14ac:dyDescent="0.25"/>
    <row r="1510" s="7" customFormat="1" x14ac:dyDescent="0.25"/>
    <row r="1511" s="7" customFormat="1" x14ac:dyDescent="0.25"/>
    <row r="1512" s="7" customFormat="1" x14ac:dyDescent="0.25"/>
    <row r="1513" s="7" customFormat="1" x14ac:dyDescent="0.25"/>
    <row r="1514" s="7" customFormat="1" x14ac:dyDescent="0.25"/>
    <row r="1515" s="7" customFormat="1" x14ac:dyDescent="0.25"/>
    <row r="1516" s="7" customFormat="1" x14ac:dyDescent="0.25"/>
    <row r="1517" s="7" customFormat="1" x14ac:dyDescent="0.25"/>
    <row r="1518" s="7" customFormat="1" x14ac:dyDescent="0.25"/>
    <row r="1519" s="7" customFormat="1" x14ac:dyDescent="0.25"/>
    <row r="1520" s="7" customFormat="1" x14ac:dyDescent="0.25"/>
    <row r="1521" s="7" customFormat="1" x14ac:dyDescent="0.25"/>
    <row r="1522" s="7" customFormat="1" x14ac:dyDescent="0.25"/>
    <row r="1523" s="7" customFormat="1" x14ac:dyDescent="0.25"/>
    <row r="1524" s="7" customFormat="1" x14ac:dyDescent="0.25"/>
    <row r="1525" s="7" customFormat="1" x14ac:dyDescent="0.25"/>
    <row r="1526" s="7" customFormat="1" x14ac:dyDescent="0.25"/>
    <row r="1527" s="7" customFormat="1" x14ac:dyDescent="0.25"/>
    <row r="1528" s="7" customFormat="1" x14ac:dyDescent="0.25"/>
    <row r="1529" s="7" customFormat="1" x14ac:dyDescent="0.25"/>
    <row r="1530" s="7" customFormat="1" x14ac:dyDescent="0.25"/>
    <row r="1531" s="7" customFormat="1" x14ac:dyDescent="0.25"/>
    <row r="1532" s="7" customFormat="1" x14ac:dyDescent="0.25"/>
    <row r="1533" s="7" customFormat="1" x14ac:dyDescent="0.25"/>
    <row r="1534" s="7" customFormat="1" x14ac:dyDescent="0.25"/>
    <row r="1535" s="7" customFormat="1" x14ac:dyDescent="0.25"/>
    <row r="1536" s="7" customFormat="1" x14ac:dyDescent="0.25"/>
    <row r="1537" s="7" customFormat="1" x14ac:dyDescent="0.25"/>
    <row r="1538" s="7" customFormat="1" x14ac:dyDescent="0.25"/>
    <row r="1539" s="7" customFormat="1" x14ac:dyDescent="0.25"/>
    <row r="1540" s="7" customFormat="1" x14ac:dyDescent="0.25"/>
    <row r="1541" s="7" customFormat="1" x14ac:dyDescent="0.25"/>
    <row r="1542" s="7" customFormat="1" x14ac:dyDescent="0.25"/>
    <row r="1543" s="7" customFormat="1" x14ac:dyDescent="0.25"/>
    <row r="1544" s="7" customFormat="1" x14ac:dyDescent="0.25"/>
    <row r="1545" s="7" customFormat="1" x14ac:dyDescent="0.25"/>
    <row r="1546" s="7" customFormat="1" x14ac:dyDescent="0.25"/>
    <row r="1547" s="7" customFormat="1" x14ac:dyDescent="0.25"/>
    <row r="1548" s="7" customFormat="1" x14ac:dyDescent="0.25"/>
    <row r="1549" s="7" customFormat="1" x14ac:dyDescent="0.25"/>
    <row r="1550" s="7" customFormat="1" x14ac:dyDescent="0.25"/>
    <row r="1551" s="7" customFormat="1" x14ac:dyDescent="0.25"/>
    <row r="1552" s="7" customFormat="1" x14ac:dyDescent="0.25"/>
    <row r="1553" s="7" customFormat="1" x14ac:dyDescent="0.25"/>
    <row r="1554" s="7" customFormat="1" x14ac:dyDescent="0.25"/>
    <row r="1555" s="7" customFormat="1" x14ac:dyDescent="0.25"/>
    <row r="1556" s="7" customFormat="1" x14ac:dyDescent="0.25"/>
    <row r="1557" s="7" customFormat="1" x14ac:dyDescent="0.25"/>
    <row r="1558" s="7" customFormat="1" x14ac:dyDescent="0.25"/>
    <row r="1559" s="7" customFormat="1" x14ac:dyDescent="0.25"/>
    <row r="1560" s="7" customFormat="1" x14ac:dyDescent="0.25"/>
    <row r="1561" s="7" customFormat="1" x14ac:dyDescent="0.25"/>
    <row r="1562" s="7" customFormat="1" x14ac:dyDescent="0.25"/>
    <row r="1563" s="7" customFormat="1" x14ac:dyDescent="0.25"/>
    <row r="1564" s="7" customFormat="1" x14ac:dyDescent="0.25"/>
    <row r="1565" s="7" customFormat="1" x14ac:dyDescent="0.25"/>
    <row r="1566" s="7" customFormat="1" x14ac:dyDescent="0.25"/>
    <row r="1567" s="7" customFormat="1" x14ac:dyDescent="0.25"/>
    <row r="1568" s="7" customFormat="1" x14ac:dyDescent="0.25"/>
    <row r="1569" s="7" customFormat="1" x14ac:dyDescent="0.25"/>
    <row r="1570" s="7" customFormat="1" x14ac:dyDescent="0.25"/>
    <row r="1571" s="7" customFormat="1" x14ac:dyDescent="0.25"/>
    <row r="1572" s="7" customFormat="1" x14ac:dyDescent="0.25"/>
    <row r="1573" s="7" customFormat="1" x14ac:dyDescent="0.25"/>
    <row r="1574" s="7" customFormat="1" x14ac:dyDescent="0.25"/>
    <row r="1575" s="7" customFormat="1" x14ac:dyDescent="0.25"/>
    <row r="1576" s="7" customFormat="1" x14ac:dyDescent="0.25"/>
    <row r="1577" s="7" customFormat="1" x14ac:dyDescent="0.25"/>
    <row r="1578" s="7" customFormat="1" x14ac:dyDescent="0.25"/>
    <row r="1579" s="7" customFormat="1" x14ac:dyDescent="0.25"/>
    <row r="1580" s="7" customFormat="1" x14ac:dyDescent="0.25"/>
    <row r="1581" s="7" customFormat="1" x14ac:dyDescent="0.25"/>
    <row r="1582" s="7" customFormat="1" x14ac:dyDescent="0.25"/>
    <row r="1583" s="7" customFormat="1" x14ac:dyDescent="0.25"/>
    <row r="1584" s="7" customFormat="1" x14ac:dyDescent="0.25"/>
    <row r="1585" s="7" customFormat="1" x14ac:dyDescent="0.25"/>
    <row r="1586" s="7" customFormat="1" x14ac:dyDescent="0.25"/>
    <row r="1587" s="7" customFormat="1" x14ac:dyDescent="0.25"/>
    <row r="1588" s="7" customFormat="1" x14ac:dyDescent="0.25"/>
    <row r="1589" s="7" customFormat="1" x14ac:dyDescent="0.25"/>
    <row r="1590" s="7" customFormat="1" x14ac:dyDescent="0.25"/>
    <row r="1591" s="7" customFormat="1" x14ac:dyDescent="0.25"/>
    <row r="1592" s="7" customFormat="1" x14ac:dyDescent="0.25"/>
    <row r="1593" s="7" customFormat="1" x14ac:dyDescent="0.25"/>
    <row r="1594" s="7" customFormat="1" x14ac:dyDescent="0.25"/>
    <row r="1595" s="7" customFormat="1" x14ac:dyDescent="0.25"/>
    <row r="1596" s="7" customFormat="1" x14ac:dyDescent="0.25"/>
    <row r="1597" s="7" customFormat="1" x14ac:dyDescent="0.25"/>
    <row r="1598" s="7" customFormat="1" x14ac:dyDescent="0.25"/>
    <row r="1599" s="7" customFormat="1" x14ac:dyDescent="0.25"/>
    <row r="1600" s="7" customFormat="1" x14ac:dyDescent="0.25"/>
    <row r="1601" s="7" customFormat="1" x14ac:dyDescent="0.25"/>
    <row r="1602" s="7" customFormat="1" x14ac:dyDescent="0.25"/>
    <row r="1603" s="7" customFormat="1" x14ac:dyDescent="0.25"/>
    <row r="1604" s="7" customFormat="1" x14ac:dyDescent="0.25"/>
    <row r="1605" s="7" customFormat="1" x14ac:dyDescent="0.25"/>
    <row r="1606" s="7" customFormat="1" x14ac:dyDescent="0.25"/>
    <row r="1607" s="7" customFormat="1" x14ac:dyDescent="0.25"/>
    <row r="1608" s="7" customFormat="1" x14ac:dyDescent="0.25"/>
    <row r="1609" s="7" customFormat="1" x14ac:dyDescent="0.25"/>
    <row r="1610" s="7" customFormat="1" x14ac:dyDescent="0.25"/>
    <row r="1611" s="7" customFormat="1" x14ac:dyDescent="0.25"/>
    <row r="1612" s="7" customFormat="1" x14ac:dyDescent="0.25"/>
    <row r="1613" s="7" customFormat="1" x14ac:dyDescent="0.25"/>
    <row r="1614" s="7" customFormat="1" x14ac:dyDescent="0.25"/>
    <row r="1615" s="7" customFormat="1" x14ac:dyDescent="0.25"/>
    <row r="1616" s="7" customFormat="1" x14ac:dyDescent="0.25"/>
    <row r="1617" s="7" customFormat="1" x14ac:dyDescent="0.25"/>
    <row r="1618" s="7" customFormat="1" x14ac:dyDescent="0.25"/>
    <row r="1619" s="7" customFormat="1" x14ac:dyDescent="0.25"/>
    <row r="1620" s="7" customFormat="1" x14ac:dyDescent="0.25"/>
    <row r="1621" s="7" customFormat="1" x14ac:dyDescent="0.25"/>
    <row r="1622" s="7" customFormat="1" x14ac:dyDescent="0.25"/>
    <row r="1623" s="7" customFormat="1" x14ac:dyDescent="0.25"/>
    <row r="1624" s="7" customFormat="1" x14ac:dyDescent="0.25"/>
    <row r="1625" s="7" customFormat="1" x14ac:dyDescent="0.25"/>
    <row r="1626" s="7" customFormat="1" x14ac:dyDescent="0.25"/>
    <row r="1627" s="7" customFormat="1" x14ac:dyDescent="0.25"/>
    <row r="1628" s="7" customFormat="1" x14ac:dyDescent="0.25"/>
    <row r="1629" s="7" customFormat="1" x14ac:dyDescent="0.25"/>
    <row r="1630" s="7" customFormat="1" x14ac:dyDescent="0.25"/>
    <row r="1631" s="7" customFormat="1" x14ac:dyDescent="0.25"/>
    <row r="1632" s="7" customFormat="1" x14ac:dyDescent="0.25"/>
    <row r="1633" s="7" customFormat="1" x14ac:dyDescent="0.25"/>
    <row r="1634" s="7" customFormat="1" x14ac:dyDescent="0.25"/>
    <row r="1635" s="7" customFormat="1" x14ac:dyDescent="0.25"/>
    <row r="1636" s="7" customFormat="1" x14ac:dyDescent="0.25"/>
    <row r="1637" s="7" customFormat="1" x14ac:dyDescent="0.25"/>
    <row r="1638" s="7" customFormat="1" x14ac:dyDescent="0.25"/>
    <row r="1639" s="7" customFormat="1" x14ac:dyDescent="0.25"/>
    <row r="1640" s="7" customFormat="1" x14ac:dyDescent="0.25"/>
    <row r="1641" s="7" customFormat="1" x14ac:dyDescent="0.25"/>
    <row r="1642" s="7" customFormat="1" x14ac:dyDescent="0.25"/>
    <row r="1643" s="7" customFormat="1" x14ac:dyDescent="0.25"/>
    <row r="1644" s="7" customFormat="1" x14ac:dyDescent="0.25"/>
    <row r="1645" s="7" customFormat="1" x14ac:dyDescent="0.25"/>
    <row r="1646" s="7" customFormat="1" x14ac:dyDescent="0.25"/>
    <row r="1647" s="7" customFormat="1" x14ac:dyDescent="0.25"/>
    <row r="1648" s="7" customFormat="1" x14ac:dyDescent="0.25"/>
    <row r="1649" s="7" customFormat="1" x14ac:dyDescent="0.25"/>
    <row r="1650" s="7" customFormat="1" x14ac:dyDescent="0.25"/>
    <row r="1651" s="7" customFormat="1" x14ac:dyDescent="0.25"/>
    <row r="1652" s="7" customFormat="1" x14ac:dyDescent="0.25"/>
    <row r="1653" s="7" customFormat="1" x14ac:dyDescent="0.25"/>
    <row r="1654" s="7" customFormat="1" x14ac:dyDescent="0.25"/>
    <row r="1655" s="7" customFormat="1" x14ac:dyDescent="0.25"/>
    <row r="1656" s="7" customFormat="1" x14ac:dyDescent="0.25"/>
    <row r="1657" s="7" customFormat="1" x14ac:dyDescent="0.25"/>
    <row r="1658" s="7" customFormat="1" x14ac:dyDescent="0.25"/>
    <row r="1659" s="7" customFormat="1" x14ac:dyDescent="0.25"/>
    <row r="1660" s="7" customFormat="1" x14ac:dyDescent="0.25"/>
    <row r="1661" s="7" customFormat="1" x14ac:dyDescent="0.25"/>
    <row r="1662" s="7" customFormat="1" x14ac:dyDescent="0.25"/>
    <row r="1663" s="7" customFormat="1" x14ac:dyDescent="0.25"/>
    <row r="1664" s="7" customFormat="1" x14ac:dyDescent="0.25"/>
    <row r="1665" s="7" customFormat="1" x14ac:dyDescent="0.25"/>
    <row r="1666" s="7" customFormat="1" x14ac:dyDescent="0.25"/>
    <row r="1667" s="7" customFormat="1" x14ac:dyDescent="0.25"/>
    <row r="1668" s="7" customFormat="1" x14ac:dyDescent="0.25"/>
    <row r="1669" s="7" customFormat="1" x14ac:dyDescent="0.25"/>
    <row r="1670" s="7" customFormat="1" x14ac:dyDescent="0.25"/>
    <row r="1671" s="7" customFormat="1" x14ac:dyDescent="0.25"/>
    <row r="1672" s="7" customFormat="1" x14ac:dyDescent="0.25"/>
    <row r="1673" s="7" customFormat="1" x14ac:dyDescent="0.25"/>
    <row r="1674" s="7" customFormat="1" x14ac:dyDescent="0.25"/>
    <row r="1675" s="7" customFormat="1" x14ac:dyDescent="0.25"/>
    <row r="1676" s="7" customFormat="1" x14ac:dyDescent="0.25"/>
    <row r="1677" s="7" customFormat="1" x14ac:dyDescent="0.25"/>
    <row r="1678" s="7" customFormat="1" x14ac:dyDescent="0.25"/>
    <row r="1679" s="7" customFormat="1" x14ac:dyDescent="0.25"/>
    <row r="1680" s="7" customFormat="1" x14ac:dyDescent="0.25"/>
    <row r="1681" s="7" customFormat="1" x14ac:dyDescent="0.25"/>
    <row r="1682" s="7" customFormat="1" x14ac:dyDescent="0.25"/>
    <row r="1683" s="7" customFormat="1" x14ac:dyDescent="0.25"/>
    <row r="1684" s="7" customFormat="1" x14ac:dyDescent="0.25"/>
    <row r="1685" s="7" customFormat="1" x14ac:dyDescent="0.25"/>
    <row r="1686" s="7" customFormat="1" x14ac:dyDescent="0.25"/>
    <row r="1687" s="7" customFormat="1" x14ac:dyDescent="0.25"/>
    <row r="1688" s="7" customFormat="1" x14ac:dyDescent="0.25"/>
    <row r="1689" s="7" customFormat="1" x14ac:dyDescent="0.25"/>
    <row r="1690" s="7" customFormat="1" x14ac:dyDescent="0.25"/>
    <row r="1691" s="7" customFormat="1" x14ac:dyDescent="0.25"/>
    <row r="1692" s="7" customFormat="1" x14ac:dyDescent="0.25"/>
    <row r="1693" s="7" customFormat="1" x14ac:dyDescent="0.25"/>
    <row r="1694" s="7" customFormat="1" x14ac:dyDescent="0.25"/>
    <row r="1695" s="7" customFormat="1" x14ac:dyDescent="0.25"/>
    <row r="1696" s="7" customFormat="1" x14ac:dyDescent="0.25"/>
    <row r="1697" s="7" customFormat="1" x14ac:dyDescent="0.25"/>
    <row r="1698" s="7" customFormat="1" x14ac:dyDescent="0.25"/>
    <row r="1699" s="7" customFormat="1" x14ac:dyDescent="0.25"/>
    <row r="1700" s="7" customFormat="1" x14ac:dyDescent="0.25"/>
    <row r="1701" s="7" customFormat="1" x14ac:dyDescent="0.25"/>
    <row r="1702" s="7" customFormat="1" x14ac:dyDescent="0.25"/>
    <row r="1703" s="7" customFormat="1" x14ac:dyDescent="0.25"/>
    <row r="1704" s="7" customFormat="1" x14ac:dyDescent="0.25"/>
    <row r="1705" s="7" customFormat="1" x14ac:dyDescent="0.25"/>
    <row r="1706" s="7" customFormat="1" x14ac:dyDescent="0.25"/>
    <row r="1707" s="7" customFormat="1" x14ac:dyDescent="0.25"/>
    <row r="1708" s="7" customFormat="1" x14ac:dyDescent="0.25"/>
    <row r="1709" s="7" customFormat="1" x14ac:dyDescent="0.25"/>
    <row r="1710" s="7" customFormat="1" x14ac:dyDescent="0.25"/>
    <row r="1711" s="7" customFormat="1" x14ac:dyDescent="0.25"/>
    <row r="1712" s="7" customFormat="1" x14ac:dyDescent="0.25"/>
    <row r="1713" s="7" customFormat="1" x14ac:dyDescent="0.25"/>
    <row r="1714" s="7" customFormat="1" x14ac:dyDescent="0.25"/>
    <row r="1715" s="7" customFormat="1" x14ac:dyDescent="0.25"/>
    <row r="1716" s="7" customFormat="1" x14ac:dyDescent="0.25"/>
    <row r="1717" s="7" customFormat="1" x14ac:dyDescent="0.25"/>
    <row r="1718" s="7" customFormat="1" x14ac:dyDescent="0.25"/>
    <row r="1719" s="7" customFormat="1" x14ac:dyDescent="0.25"/>
    <row r="1720" s="7" customFormat="1" x14ac:dyDescent="0.25"/>
    <row r="1721" s="7" customFormat="1" x14ac:dyDescent="0.25"/>
    <row r="1722" s="7" customFormat="1" x14ac:dyDescent="0.25"/>
    <row r="1723" s="7" customFormat="1" x14ac:dyDescent="0.25"/>
    <row r="1724" s="7" customFormat="1" x14ac:dyDescent="0.25"/>
    <row r="1725" s="7" customFormat="1" x14ac:dyDescent="0.25"/>
    <row r="1726" s="7" customFormat="1" x14ac:dyDescent="0.25"/>
    <row r="1727" s="7" customFormat="1" x14ac:dyDescent="0.25"/>
    <row r="1728" s="7" customFormat="1" x14ac:dyDescent="0.25"/>
    <row r="1729" s="7" customFormat="1" x14ac:dyDescent="0.25"/>
    <row r="1730" s="7" customFormat="1" x14ac:dyDescent="0.25"/>
    <row r="1731" s="7" customFormat="1" x14ac:dyDescent="0.25"/>
    <row r="1732" s="7" customFormat="1" x14ac:dyDescent="0.25"/>
    <row r="1733" s="7" customFormat="1" x14ac:dyDescent="0.25"/>
    <row r="1734" s="7" customFormat="1" x14ac:dyDescent="0.25"/>
    <row r="1735" s="7" customFormat="1" x14ac:dyDescent="0.25"/>
    <row r="1736" s="7" customFormat="1" x14ac:dyDescent="0.25"/>
    <row r="1737" s="7" customFormat="1" x14ac:dyDescent="0.25"/>
    <row r="1738" s="7" customFormat="1" x14ac:dyDescent="0.25"/>
    <row r="1739" s="7" customFormat="1" x14ac:dyDescent="0.25"/>
    <row r="1740" s="7" customFormat="1" x14ac:dyDescent="0.25"/>
    <row r="1741" s="7" customFormat="1" x14ac:dyDescent="0.25"/>
    <row r="1742" s="7" customFormat="1" x14ac:dyDescent="0.25"/>
    <row r="1743" s="7" customFormat="1" x14ac:dyDescent="0.25"/>
    <row r="1744" s="7" customFormat="1" x14ac:dyDescent="0.25"/>
    <row r="1745" s="7" customFormat="1" x14ac:dyDescent="0.25"/>
    <row r="1746" s="7" customFormat="1" x14ac:dyDescent="0.25"/>
    <row r="1747" s="7" customFormat="1" x14ac:dyDescent="0.25"/>
    <row r="1748" s="7" customFormat="1" x14ac:dyDescent="0.25"/>
    <row r="1749" s="7" customFormat="1" x14ac:dyDescent="0.25"/>
    <row r="1750" s="7" customFormat="1" x14ac:dyDescent="0.25"/>
    <row r="1751" s="7" customFormat="1" x14ac:dyDescent="0.25"/>
    <row r="1752" s="7" customFormat="1" x14ac:dyDescent="0.25"/>
    <row r="1753" s="7" customFormat="1" x14ac:dyDescent="0.25"/>
    <row r="1754" s="7" customFormat="1" x14ac:dyDescent="0.25"/>
    <row r="1755" s="7" customFormat="1" x14ac:dyDescent="0.25"/>
    <row r="1756" s="7" customFormat="1" x14ac:dyDescent="0.25"/>
    <row r="1757" s="7" customFormat="1" x14ac:dyDescent="0.25"/>
    <row r="1758" s="7" customFormat="1" x14ac:dyDescent="0.25"/>
    <row r="1759" s="7" customFormat="1" x14ac:dyDescent="0.25"/>
    <row r="1760" s="7" customFormat="1" x14ac:dyDescent="0.25"/>
    <row r="1761" s="7" customFormat="1" x14ac:dyDescent="0.25"/>
    <row r="1762" s="7" customFormat="1" x14ac:dyDescent="0.25"/>
    <row r="1763" s="7" customFormat="1" x14ac:dyDescent="0.25"/>
    <row r="1764" s="7" customFormat="1" x14ac:dyDescent="0.25"/>
    <row r="1765" s="7" customFormat="1" x14ac:dyDescent="0.25"/>
    <row r="1766" s="7" customFormat="1" x14ac:dyDescent="0.25"/>
    <row r="1767" s="7" customFormat="1" x14ac:dyDescent="0.25"/>
    <row r="1768" s="7" customFormat="1" x14ac:dyDescent="0.25"/>
    <row r="1769" s="7" customFormat="1" x14ac:dyDescent="0.25"/>
    <row r="1770" s="7" customFormat="1" x14ac:dyDescent="0.25"/>
    <row r="1771" s="7" customFormat="1" x14ac:dyDescent="0.25"/>
    <row r="1772" s="7" customFormat="1" x14ac:dyDescent="0.25"/>
    <row r="1773" s="7" customFormat="1" x14ac:dyDescent="0.25"/>
    <row r="1774" s="7" customFormat="1" x14ac:dyDescent="0.25"/>
    <row r="1775" s="7" customFormat="1" x14ac:dyDescent="0.25"/>
    <row r="1776" s="7" customFormat="1" x14ac:dyDescent="0.25"/>
    <row r="1777" s="7" customFormat="1" x14ac:dyDescent="0.25"/>
    <row r="1778" s="7" customFormat="1" x14ac:dyDescent="0.25"/>
    <row r="1779" s="7" customFormat="1" x14ac:dyDescent="0.25"/>
    <row r="1780" s="7" customFormat="1" x14ac:dyDescent="0.25"/>
    <row r="1781" s="7" customFormat="1" x14ac:dyDescent="0.25"/>
    <row r="1782" s="7" customFormat="1" x14ac:dyDescent="0.25"/>
    <row r="1783" s="7" customFormat="1" x14ac:dyDescent="0.25"/>
    <row r="1784" s="7" customFormat="1" x14ac:dyDescent="0.25"/>
    <row r="1785" s="7" customFormat="1" x14ac:dyDescent="0.25"/>
    <row r="1786" s="7" customFormat="1" x14ac:dyDescent="0.25"/>
    <row r="1787" s="7" customFormat="1" x14ac:dyDescent="0.25"/>
    <row r="1788" s="7" customFormat="1" x14ac:dyDescent="0.25"/>
    <row r="1789" s="7" customFormat="1" x14ac:dyDescent="0.25"/>
    <row r="1790" s="7" customFormat="1" x14ac:dyDescent="0.25"/>
    <row r="1791" s="7" customFormat="1" x14ac:dyDescent="0.25"/>
    <row r="1792" s="7" customFormat="1" x14ac:dyDescent="0.25"/>
    <row r="1793" s="7" customFormat="1" x14ac:dyDescent="0.25"/>
    <row r="1794" s="7" customFormat="1" x14ac:dyDescent="0.25"/>
    <row r="1795" s="7" customFormat="1" x14ac:dyDescent="0.25"/>
    <row r="1796" s="7" customFormat="1" x14ac:dyDescent="0.25"/>
    <row r="1797" s="7" customFormat="1" x14ac:dyDescent="0.25"/>
    <row r="1798" s="7" customFormat="1" x14ac:dyDescent="0.25"/>
    <row r="1799" s="7" customFormat="1" x14ac:dyDescent="0.25"/>
    <row r="1800" s="7" customFormat="1" x14ac:dyDescent="0.25"/>
    <row r="1801" s="7" customFormat="1" x14ac:dyDescent="0.25"/>
    <row r="1802" s="7" customFormat="1" x14ac:dyDescent="0.25"/>
    <row r="1803" s="7" customFormat="1" x14ac:dyDescent="0.25"/>
    <row r="1804" s="7" customFormat="1" x14ac:dyDescent="0.25"/>
    <row r="1805" s="7" customFormat="1" x14ac:dyDescent="0.25"/>
    <row r="1806" s="7" customFormat="1" x14ac:dyDescent="0.25"/>
    <row r="1807" s="7" customFormat="1" x14ac:dyDescent="0.25"/>
    <row r="1808" s="7" customFormat="1" x14ac:dyDescent="0.25"/>
    <row r="1809" s="7" customFormat="1" x14ac:dyDescent="0.25"/>
    <row r="1810" s="7" customFormat="1" x14ac:dyDescent="0.25"/>
    <row r="1811" s="7" customFormat="1" x14ac:dyDescent="0.25"/>
    <row r="1812" s="7" customFormat="1" x14ac:dyDescent="0.25"/>
    <row r="1813" s="7" customFormat="1" x14ac:dyDescent="0.25"/>
    <row r="1814" s="7" customFormat="1" x14ac:dyDescent="0.25"/>
    <row r="1815" s="7" customFormat="1" x14ac:dyDescent="0.25"/>
    <row r="1816" s="7" customFormat="1" x14ac:dyDescent="0.25"/>
    <row r="1817" s="7" customFormat="1" x14ac:dyDescent="0.25"/>
    <row r="1818" s="7" customFormat="1" x14ac:dyDescent="0.25"/>
    <row r="1819" s="7" customFormat="1" x14ac:dyDescent="0.25"/>
    <row r="1820" s="7" customFormat="1" x14ac:dyDescent="0.25"/>
    <row r="1821" s="7" customFormat="1" x14ac:dyDescent="0.25"/>
    <row r="1822" s="7" customFormat="1" x14ac:dyDescent="0.25"/>
    <row r="1823" s="7" customFormat="1" x14ac:dyDescent="0.25"/>
    <row r="1824" s="7" customFormat="1" x14ac:dyDescent="0.25"/>
    <row r="1825" s="7" customFormat="1" x14ac:dyDescent="0.25"/>
    <row r="1826" s="7" customFormat="1" x14ac:dyDescent="0.25"/>
    <row r="1827" s="7" customFormat="1" x14ac:dyDescent="0.25"/>
    <row r="1828" s="7" customFormat="1" x14ac:dyDescent="0.25"/>
    <row r="1829" s="7" customFormat="1" x14ac:dyDescent="0.25"/>
    <row r="1830" s="7" customFormat="1" x14ac:dyDescent="0.25"/>
    <row r="1831" s="7" customFormat="1" x14ac:dyDescent="0.25"/>
    <row r="1832" s="7" customFormat="1" x14ac:dyDescent="0.25"/>
    <row r="1833" s="7" customFormat="1" x14ac:dyDescent="0.25"/>
    <row r="1834" s="7" customFormat="1" x14ac:dyDescent="0.25"/>
    <row r="1835" s="7" customFormat="1" x14ac:dyDescent="0.25"/>
    <row r="1836" s="7" customFormat="1" x14ac:dyDescent="0.25"/>
    <row r="1837" s="7" customFormat="1" x14ac:dyDescent="0.25"/>
    <row r="1838" s="7" customFormat="1" x14ac:dyDescent="0.25"/>
    <row r="1839" s="7" customFormat="1" x14ac:dyDescent="0.25"/>
    <row r="1840" s="7" customFormat="1" x14ac:dyDescent="0.25"/>
    <row r="1841" s="7" customFormat="1" x14ac:dyDescent="0.25"/>
    <row r="1842" s="7" customFormat="1" x14ac:dyDescent="0.25"/>
    <row r="1843" s="7" customFormat="1" x14ac:dyDescent="0.25"/>
    <row r="1844" s="7" customFormat="1" x14ac:dyDescent="0.25"/>
    <row r="1845" s="7" customFormat="1" x14ac:dyDescent="0.25"/>
    <row r="1846" s="7" customFormat="1" x14ac:dyDescent="0.25"/>
    <row r="1847" s="7" customFormat="1" x14ac:dyDescent="0.25"/>
    <row r="1848" s="7" customFormat="1" x14ac:dyDescent="0.25"/>
    <row r="1849" s="7" customFormat="1" x14ac:dyDescent="0.25"/>
    <row r="1850" s="7" customFormat="1" x14ac:dyDescent="0.25"/>
    <row r="1851" s="7" customFormat="1" x14ac:dyDescent="0.25"/>
    <row r="1852" s="7" customFormat="1" x14ac:dyDescent="0.25"/>
    <row r="1853" s="7" customFormat="1" x14ac:dyDescent="0.25"/>
    <row r="1854" s="7" customFormat="1" x14ac:dyDescent="0.25"/>
    <row r="1855" s="7" customFormat="1" x14ac:dyDescent="0.25"/>
    <row r="1856" s="7" customFormat="1" x14ac:dyDescent="0.25"/>
    <row r="1857" s="7" customFormat="1" x14ac:dyDescent="0.25"/>
    <row r="1858" s="7" customFormat="1" x14ac:dyDescent="0.25"/>
    <row r="1859" s="7" customFormat="1" x14ac:dyDescent="0.25"/>
    <row r="1860" s="7" customFormat="1" x14ac:dyDescent="0.25"/>
    <row r="1861" s="7" customFormat="1" x14ac:dyDescent="0.25"/>
    <row r="1862" s="7" customFormat="1" x14ac:dyDescent="0.25"/>
    <row r="1863" s="7" customFormat="1" x14ac:dyDescent="0.25"/>
    <row r="1864" s="7" customFormat="1" x14ac:dyDescent="0.25"/>
    <row r="1865" s="7" customFormat="1" x14ac:dyDescent="0.25"/>
    <row r="1866" s="7" customFormat="1" x14ac:dyDescent="0.25"/>
    <row r="1867" s="7" customFormat="1" x14ac:dyDescent="0.25"/>
    <row r="1868" s="7" customFormat="1" x14ac:dyDescent="0.25"/>
    <row r="1869" s="7" customFormat="1" x14ac:dyDescent="0.25"/>
    <row r="1870" s="7" customFormat="1" x14ac:dyDescent="0.25"/>
    <row r="1871" s="7" customFormat="1" x14ac:dyDescent="0.25"/>
    <row r="1872" s="7" customFormat="1" x14ac:dyDescent="0.25"/>
    <row r="1873" s="7" customFormat="1" x14ac:dyDescent="0.25"/>
    <row r="1874" s="7" customFormat="1" x14ac:dyDescent="0.25"/>
    <row r="1875" s="7" customFormat="1" x14ac:dyDescent="0.25"/>
    <row r="1876" s="7" customFormat="1" x14ac:dyDescent="0.25"/>
    <row r="1877" s="7" customFormat="1" x14ac:dyDescent="0.25"/>
    <row r="1878" s="7" customFormat="1" x14ac:dyDescent="0.25"/>
    <row r="1879" s="7" customFormat="1" x14ac:dyDescent="0.25"/>
    <row r="1880" s="7" customFormat="1" x14ac:dyDescent="0.25"/>
    <row r="1881" s="7" customFormat="1" x14ac:dyDescent="0.25"/>
    <row r="1882" s="7" customFormat="1" x14ac:dyDescent="0.25"/>
    <row r="1883" s="7" customFormat="1" x14ac:dyDescent="0.25"/>
    <row r="1884" s="7" customFormat="1" x14ac:dyDescent="0.25"/>
    <row r="1885" s="7" customFormat="1" x14ac:dyDescent="0.25"/>
    <row r="1886" s="7" customFormat="1" x14ac:dyDescent="0.25"/>
    <row r="1887" s="7" customFormat="1" x14ac:dyDescent="0.25"/>
    <row r="1888" s="7" customFormat="1" x14ac:dyDescent="0.25"/>
    <row r="1889" s="7" customFormat="1" x14ac:dyDescent="0.25"/>
    <row r="1890" s="7" customFormat="1" x14ac:dyDescent="0.25"/>
    <row r="1891" s="7" customFormat="1" x14ac:dyDescent="0.25"/>
    <row r="1892" s="7" customFormat="1" x14ac:dyDescent="0.25"/>
    <row r="1893" s="7" customFormat="1" x14ac:dyDescent="0.25"/>
    <row r="1894" s="7" customFormat="1" x14ac:dyDescent="0.25"/>
    <row r="1895" s="7" customFormat="1" x14ac:dyDescent="0.25"/>
    <row r="1896" s="7" customFormat="1" x14ac:dyDescent="0.25"/>
    <row r="1897" s="7" customFormat="1" x14ac:dyDescent="0.25"/>
    <row r="1898" s="7" customFormat="1" x14ac:dyDescent="0.25"/>
    <row r="1899" s="7" customFormat="1" x14ac:dyDescent="0.25"/>
    <row r="1900" s="7" customFormat="1" x14ac:dyDescent="0.25"/>
    <row r="1901" s="7" customFormat="1" x14ac:dyDescent="0.25"/>
    <row r="1902" s="7" customFormat="1" x14ac:dyDescent="0.25"/>
    <row r="1903" s="7" customFormat="1" x14ac:dyDescent="0.25"/>
    <row r="1904" s="7" customFormat="1" x14ac:dyDescent="0.25"/>
    <row r="1905" s="7" customFormat="1" x14ac:dyDescent="0.25"/>
    <row r="1906" s="7" customFormat="1" x14ac:dyDescent="0.25"/>
    <row r="1907" s="7" customFormat="1" x14ac:dyDescent="0.25"/>
    <row r="1908" s="7" customFormat="1" x14ac:dyDescent="0.25"/>
    <row r="1909" s="7" customFormat="1" x14ac:dyDescent="0.25"/>
    <row r="1910" s="7" customFormat="1" x14ac:dyDescent="0.25"/>
    <row r="1911" s="7" customFormat="1" x14ac:dyDescent="0.25"/>
    <row r="1912" s="7" customFormat="1" x14ac:dyDescent="0.25"/>
    <row r="1913" s="7" customFormat="1" x14ac:dyDescent="0.25"/>
    <row r="1914" s="7" customFormat="1" x14ac:dyDescent="0.25"/>
    <row r="1915" s="7" customFormat="1" x14ac:dyDescent="0.25"/>
    <row r="1916" s="7" customFormat="1" x14ac:dyDescent="0.25"/>
    <row r="1917" s="7" customFormat="1" x14ac:dyDescent="0.25"/>
    <row r="1918" s="7" customFormat="1" x14ac:dyDescent="0.25"/>
    <row r="1919" s="7" customFormat="1" x14ac:dyDescent="0.25"/>
    <row r="1920" s="7" customFormat="1" x14ac:dyDescent="0.25"/>
    <row r="1921" s="7" customFormat="1" x14ac:dyDescent="0.25"/>
    <row r="1922" s="7" customFormat="1" x14ac:dyDescent="0.25"/>
    <row r="1923" s="7" customFormat="1" x14ac:dyDescent="0.25"/>
    <row r="1924" s="7" customFormat="1" x14ac:dyDescent="0.25"/>
    <row r="1925" s="7" customFormat="1" x14ac:dyDescent="0.25"/>
    <row r="1926" s="7" customFormat="1" x14ac:dyDescent="0.25"/>
    <row r="1927" s="7" customFormat="1" x14ac:dyDescent="0.25"/>
    <row r="1928" s="7" customFormat="1" x14ac:dyDescent="0.25"/>
    <row r="1929" s="7" customFormat="1" x14ac:dyDescent="0.25"/>
    <row r="1930" s="7" customFormat="1" x14ac:dyDescent="0.25"/>
    <row r="1931" s="7" customFormat="1" x14ac:dyDescent="0.25"/>
    <row r="1932" s="7" customFormat="1" x14ac:dyDescent="0.25"/>
    <row r="1933" s="7" customFormat="1" x14ac:dyDescent="0.25"/>
    <row r="1934" s="7" customFormat="1" x14ac:dyDescent="0.25"/>
    <row r="1935" s="7" customFormat="1" x14ac:dyDescent="0.25"/>
    <row r="1936" s="7" customFormat="1" x14ac:dyDescent="0.25"/>
    <row r="1937" s="7" customFormat="1" x14ac:dyDescent="0.25"/>
    <row r="1938" s="7" customFormat="1" x14ac:dyDescent="0.25"/>
    <row r="1939" s="7" customFormat="1" x14ac:dyDescent="0.25"/>
    <row r="1940" s="7" customFormat="1" x14ac:dyDescent="0.25"/>
    <row r="1941" s="7" customFormat="1" x14ac:dyDescent="0.25"/>
    <row r="1942" s="7" customFormat="1" x14ac:dyDescent="0.25"/>
    <row r="1943" s="7" customFormat="1" x14ac:dyDescent="0.25"/>
    <row r="1944" s="7" customFormat="1" x14ac:dyDescent="0.25"/>
    <row r="1945" s="7" customFormat="1" x14ac:dyDescent="0.25"/>
    <row r="1946" s="7" customFormat="1" x14ac:dyDescent="0.25"/>
    <row r="1947" s="7" customFormat="1" x14ac:dyDescent="0.25"/>
    <row r="1948" s="7" customFormat="1" x14ac:dyDescent="0.25"/>
    <row r="1949" s="7" customFormat="1" x14ac:dyDescent="0.25"/>
    <row r="1950" s="7" customFormat="1" x14ac:dyDescent="0.25"/>
    <row r="1951" s="7" customFormat="1" x14ac:dyDescent="0.25"/>
    <row r="1952" s="7" customFormat="1" x14ac:dyDescent="0.25"/>
    <row r="1953" s="7" customFormat="1" x14ac:dyDescent="0.25"/>
    <row r="1954" s="7" customFormat="1" x14ac:dyDescent="0.25"/>
    <row r="1955" s="7" customFormat="1" x14ac:dyDescent="0.25"/>
    <row r="1956" s="7" customFormat="1" x14ac:dyDescent="0.25"/>
    <row r="1957" s="7" customFormat="1" x14ac:dyDescent="0.25"/>
    <row r="1958" s="7" customFormat="1" x14ac:dyDescent="0.25"/>
    <row r="1959" s="7" customFormat="1" x14ac:dyDescent="0.25"/>
    <row r="1960" s="7" customFormat="1" x14ac:dyDescent="0.25"/>
    <row r="1961" s="7" customFormat="1" x14ac:dyDescent="0.25"/>
    <row r="1962" s="7" customFormat="1" x14ac:dyDescent="0.25"/>
    <row r="1963" s="7" customFormat="1" x14ac:dyDescent="0.25"/>
    <row r="1964" s="7" customFormat="1" x14ac:dyDescent="0.25"/>
    <row r="1965" s="7" customFormat="1" x14ac:dyDescent="0.25"/>
    <row r="1966" s="7" customFormat="1" x14ac:dyDescent="0.25"/>
    <row r="1967" s="7" customFormat="1" x14ac:dyDescent="0.25"/>
    <row r="1968" s="7" customFormat="1" x14ac:dyDescent="0.25"/>
    <row r="1969" s="7" customFormat="1" x14ac:dyDescent="0.25"/>
    <row r="1970" s="7" customFormat="1" x14ac:dyDescent="0.25"/>
    <row r="1971" s="7" customFormat="1" x14ac:dyDescent="0.25"/>
    <row r="1972" s="7" customFormat="1" x14ac:dyDescent="0.25"/>
    <row r="1973" s="7" customFormat="1" x14ac:dyDescent="0.25"/>
    <row r="1974" s="7" customFormat="1" x14ac:dyDescent="0.25"/>
    <row r="1975" s="7" customFormat="1" x14ac:dyDescent="0.25"/>
    <row r="1976" s="7" customFormat="1" x14ac:dyDescent="0.25"/>
    <row r="1977" s="7" customFormat="1" x14ac:dyDescent="0.25"/>
    <row r="1978" s="7" customFormat="1" x14ac:dyDescent="0.25"/>
    <row r="1979" s="7" customFormat="1" x14ac:dyDescent="0.25"/>
    <row r="1980" s="7" customFormat="1" x14ac:dyDescent="0.25"/>
    <row r="1981" s="7" customFormat="1" x14ac:dyDescent="0.25"/>
    <row r="1982" s="7" customFormat="1" x14ac:dyDescent="0.25"/>
    <row r="1983" s="7" customFormat="1" x14ac:dyDescent="0.25"/>
    <row r="1984" s="7" customFormat="1" x14ac:dyDescent="0.25"/>
    <row r="1985" s="7" customFormat="1" x14ac:dyDescent="0.25"/>
    <row r="1986" s="7" customFormat="1" x14ac:dyDescent="0.25"/>
    <row r="1987" s="7" customFormat="1" x14ac:dyDescent="0.25"/>
    <row r="1988" s="7" customFormat="1" x14ac:dyDescent="0.25"/>
    <row r="1989" s="7" customFormat="1" x14ac:dyDescent="0.25"/>
    <row r="1990" s="7" customFormat="1" x14ac:dyDescent="0.25"/>
    <row r="1991" s="7" customFormat="1" x14ac:dyDescent="0.25"/>
    <row r="1992" s="7" customFormat="1" x14ac:dyDescent="0.25"/>
    <row r="1993" s="7" customFormat="1" x14ac:dyDescent="0.25"/>
    <row r="1994" s="7" customFormat="1" x14ac:dyDescent="0.25"/>
    <row r="1995" s="7" customFormat="1" x14ac:dyDescent="0.25"/>
    <row r="1996" s="7" customFormat="1" x14ac:dyDescent="0.25"/>
    <row r="1997" s="7" customFormat="1" x14ac:dyDescent="0.25"/>
    <row r="1998" s="7" customFormat="1" x14ac:dyDescent="0.25"/>
    <row r="1999" s="7" customFormat="1" x14ac:dyDescent="0.25"/>
    <row r="2000" s="7" customFormat="1" x14ac:dyDescent="0.25"/>
    <row r="2001" s="7" customFormat="1" x14ac:dyDescent="0.25"/>
    <row r="2002" s="7" customFormat="1" x14ac:dyDescent="0.25"/>
    <row r="2003" s="7" customFormat="1" x14ac:dyDescent="0.25"/>
    <row r="2004" s="7" customFormat="1" x14ac:dyDescent="0.25"/>
    <row r="2005" s="7" customFormat="1" x14ac:dyDescent="0.25"/>
    <row r="2006" s="7" customFormat="1" x14ac:dyDescent="0.25"/>
    <row r="2007" s="7" customFormat="1" x14ac:dyDescent="0.25"/>
    <row r="2008" s="7" customFormat="1" x14ac:dyDescent="0.25"/>
    <row r="2009" s="7" customFormat="1" x14ac:dyDescent="0.25"/>
    <row r="2010" s="7" customFormat="1" x14ac:dyDescent="0.25"/>
    <row r="2011" s="7" customFormat="1" x14ac:dyDescent="0.25"/>
    <row r="2012" s="7" customFormat="1" x14ac:dyDescent="0.25"/>
    <row r="2013" s="7" customFormat="1" x14ac:dyDescent="0.25"/>
    <row r="2014" s="7" customFormat="1" x14ac:dyDescent="0.25"/>
    <row r="2015" s="7" customFormat="1" x14ac:dyDescent="0.25"/>
    <row r="2016" s="7" customFormat="1" x14ac:dyDescent="0.25"/>
    <row r="2017" s="7" customFormat="1" x14ac:dyDescent="0.25"/>
    <row r="2018" s="7" customFormat="1" x14ac:dyDescent="0.25"/>
    <row r="2019" s="7" customFormat="1" x14ac:dyDescent="0.25"/>
    <row r="2020" s="7" customFormat="1" x14ac:dyDescent="0.25"/>
    <row r="2021" s="7" customFormat="1" x14ac:dyDescent="0.25"/>
    <row r="2022" s="7" customFormat="1" x14ac:dyDescent="0.25"/>
    <row r="2023" s="7" customFormat="1" x14ac:dyDescent="0.25"/>
    <row r="2024" s="7" customFormat="1" x14ac:dyDescent="0.25"/>
    <row r="2025" s="7" customFormat="1" x14ac:dyDescent="0.25"/>
    <row r="2026" s="7" customFormat="1" x14ac:dyDescent="0.25"/>
    <row r="2027" s="7" customFormat="1" x14ac:dyDescent="0.25"/>
    <row r="2028" s="7" customFormat="1" x14ac:dyDescent="0.25"/>
    <row r="2029" s="7" customFormat="1" x14ac:dyDescent="0.25"/>
    <row r="2030" s="7" customFormat="1" x14ac:dyDescent="0.25"/>
    <row r="2031" s="7" customFormat="1" x14ac:dyDescent="0.25"/>
    <row r="2032" s="7" customFormat="1" x14ac:dyDescent="0.25"/>
    <row r="2033" s="7" customFormat="1" x14ac:dyDescent="0.25"/>
    <row r="2034" s="7" customFormat="1" x14ac:dyDescent="0.25"/>
    <row r="2035" s="7" customFormat="1" x14ac:dyDescent="0.25"/>
    <row r="2036" s="7" customFormat="1" x14ac:dyDescent="0.25"/>
    <row r="2037" s="7" customFormat="1" x14ac:dyDescent="0.25"/>
    <row r="2038" s="7" customFormat="1" x14ac:dyDescent="0.25"/>
    <row r="2039" s="7" customFormat="1" x14ac:dyDescent="0.25"/>
    <row r="2040" s="7" customFormat="1" x14ac:dyDescent="0.25"/>
    <row r="2041" s="7" customFormat="1" x14ac:dyDescent="0.25"/>
    <row r="2042" s="7" customFormat="1" x14ac:dyDescent="0.25"/>
    <row r="2043" s="7" customFormat="1" x14ac:dyDescent="0.25"/>
    <row r="2044" s="7" customFormat="1" x14ac:dyDescent="0.25"/>
    <row r="2045" s="7" customFormat="1" x14ac:dyDescent="0.25"/>
    <row r="2046" s="7" customFormat="1" x14ac:dyDescent="0.25"/>
    <row r="2047" s="7" customFormat="1" x14ac:dyDescent="0.25"/>
    <row r="2048" s="7" customFormat="1" x14ac:dyDescent="0.25"/>
    <row r="2049" s="7" customFormat="1" x14ac:dyDescent="0.25"/>
    <row r="2050" s="7" customFormat="1" x14ac:dyDescent="0.25"/>
    <row r="2051" s="7" customFormat="1" x14ac:dyDescent="0.25"/>
    <row r="2052" s="7" customFormat="1" x14ac:dyDescent="0.25"/>
    <row r="2053" s="7" customFormat="1" x14ac:dyDescent="0.25"/>
    <row r="2054" s="7" customFormat="1" x14ac:dyDescent="0.25"/>
    <row r="2055" s="7" customFormat="1" x14ac:dyDescent="0.25"/>
    <row r="2056" s="7" customFormat="1" x14ac:dyDescent="0.25"/>
    <row r="2057" s="7" customFormat="1" x14ac:dyDescent="0.25"/>
    <row r="2058" s="7" customFormat="1" x14ac:dyDescent="0.25"/>
    <row r="2059" s="7" customFormat="1" x14ac:dyDescent="0.25"/>
    <row r="2060" s="7" customFormat="1" x14ac:dyDescent="0.25"/>
    <row r="2061" s="7" customFormat="1" x14ac:dyDescent="0.25"/>
    <row r="2062" s="7" customFormat="1" x14ac:dyDescent="0.25"/>
    <row r="2063" s="7" customFormat="1" x14ac:dyDescent="0.25"/>
    <row r="2064" s="7" customFormat="1" x14ac:dyDescent="0.25"/>
    <row r="2065" s="7" customFormat="1" x14ac:dyDescent="0.25"/>
    <row r="2066" s="7" customFormat="1" x14ac:dyDescent="0.25"/>
    <row r="2067" s="7" customFormat="1" x14ac:dyDescent="0.25"/>
    <row r="2068" s="7" customFormat="1" x14ac:dyDescent="0.25"/>
    <row r="2069" s="7" customFormat="1" x14ac:dyDescent="0.25"/>
    <row r="2070" s="7" customFormat="1" x14ac:dyDescent="0.25"/>
    <row r="2071" s="7" customFormat="1" x14ac:dyDescent="0.25"/>
    <row r="2072" s="7" customFormat="1" x14ac:dyDescent="0.25"/>
    <row r="2073" s="7" customFormat="1" x14ac:dyDescent="0.25"/>
    <row r="2074" s="7" customFormat="1" x14ac:dyDescent="0.25"/>
    <row r="2075" s="7" customFormat="1" x14ac:dyDescent="0.25"/>
    <row r="2076" s="7" customFormat="1" x14ac:dyDescent="0.25"/>
    <row r="2077" s="7" customFormat="1" x14ac:dyDescent="0.25"/>
    <row r="2078" s="7" customFormat="1" x14ac:dyDescent="0.25"/>
    <row r="2079" s="7" customFormat="1" x14ac:dyDescent="0.25"/>
    <row r="2080" s="7" customFormat="1" x14ac:dyDescent="0.25"/>
    <row r="2081" s="7" customFormat="1" x14ac:dyDescent="0.25"/>
    <row r="2082" s="7" customFormat="1" x14ac:dyDescent="0.25"/>
    <row r="2083" s="7" customFormat="1" x14ac:dyDescent="0.25"/>
    <row r="2084" s="7" customFormat="1" x14ac:dyDescent="0.25"/>
    <row r="2085" s="7" customFormat="1" x14ac:dyDescent="0.25"/>
    <row r="2086" s="7" customFormat="1" x14ac:dyDescent="0.25"/>
    <row r="2087" s="7" customFormat="1" x14ac:dyDescent="0.25"/>
    <row r="2088" s="7" customFormat="1" x14ac:dyDescent="0.25"/>
    <row r="2089" s="7" customFormat="1" x14ac:dyDescent="0.25"/>
    <row r="2090" s="7" customFormat="1" x14ac:dyDescent="0.25"/>
    <row r="2091" s="7" customFormat="1" x14ac:dyDescent="0.25"/>
    <row r="2092" s="7" customFormat="1" x14ac:dyDescent="0.25"/>
    <row r="2093" s="7" customFormat="1" x14ac:dyDescent="0.25"/>
    <row r="2094" s="7" customFormat="1" x14ac:dyDescent="0.25"/>
    <row r="2095" s="7" customFormat="1" x14ac:dyDescent="0.25"/>
    <row r="2096" s="7" customFormat="1" x14ac:dyDescent="0.25"/>
    <row r="2097" s="7" customFormat="1" x14ac:dyDescent="0.25"/>
    <row r="2098" s="7" customFormat="1" x14ac:dyDescent="0.25"/>
    <row r="2099" s="7" customFormat="1" x14ac:dyDescent="0.25"/>
    <row r="2100" s="7" customFormat="1" x14ac:dyDescent="0.25"/>
    <row r="2101" s="7" customFormat="1" x14ac:dyDescent="0.25"/>
    <row r="2102" s="7" customFormat="1" x14ac:dyDescent="0.25"/>
    <row r="2103" s="7" customFormat="1" x14ac:dyDescent="0.25"/>
    <row r="2104" s="7" customFormat="1" x14ac:dyDescent="0.25"/>
    <row r="2105" s="7" customFormat="1" x14ac:dyDescent="0.25"/>
    <row r="2106" s="7" customFormat="1" x14ac:dyDescent="0.25"/>
    <row r="2107" s="7" customFormat="1" x14ac:dyDescent="0.25"/>
    <row r="2108" s="7" customFormat="1" x14ac:dyDescent="0.25"/>
    <row r="2109" s="7" customFormat="1" x14ac:dyDescent="0.25"/>
    <row r="2110" s="7" customFormat="1" x14ac:dyDescent="0.25"/>
    <row r="2111" s="7" customFormat="1" x14ac:dyDescent="0.25"/>
    <row r="2112" s="7" customFormat="1" x14ac:dyDescent="0.25"/>
    <row r="2113" s="7" customFormat="1" x14ac:dyDescent="0.25"/>
    <row r="2114" s="7" customFormat="1" x14ac:dyDescent="0.25"/>
    <row r="2115" s="7" customFormat="1" x14ac:dyDescent="0.25"/>
    <row r="2116" s="7" customFormat="1" x14ac:dyDescent="0.25"/>
    <row r="2117" s="7" customFormat="1" x14ac:dyDescent="0.25"/>
    <row r="2118" s="7" customFormat="1" x14ac:dyDescent="0.25"/>
    <row r="2119" s="7" customFormat="1" x14ac:dyDescent="0.25"/>
    <row r="2120" s="7" customFormat="1" x14ac:dyDescent="0.25"/>
    <row r="2121" s="7" customFormat="1" x14ac:dyDescent="0.25"/>
    <row r="2122" s="7" customFormat="1" x14ac:dyDescent="0.25"/>
    <row r="2123" s="7" customFormat="1" x14ac:dyDescent="0.25"/>
    <row r="2124" s="7" customFormat="1" x14ac:dyDescent="0.25"/>
    <row r="2125" s="7" customFormat="1" x14ac:dyDescent="0.25"/>
    <row r="2126" s="7" customFormat="1" x14ac:dyDescent="0.25"/>
    <row r="2127" s="7" customFormat="1" x14ac:dyDescent="0.25"/>
    <row r="2128" s="7" customFormat="1" x14ac:dyDescent="0.25"/>
    <row r="2129" s="7" customFormat="1" x14ac:dyDescent="0.25"/>
    <row r="2130" s="7" customFormat="1" x14ac:dyDescent="0.25"/>
    <row r="2131" s="7" customFormat="1" x14ac:dyDescent="0.25"/>
    <row r="2132" s="7" customFormat="1" x14ac:dyDescent="0.25"/>
    <row r="2133" s="7" customFormat="1" x14ac:dyDescent="0.25"/>
    <row r="2134" s="7" customFormat="1" x14ac:dyDescent="0.25"/>
    <row r="2135" s="7" customFormat="1" x14ac:dyDescent="0.25"/>
    <row r="2136" s="7" customFormat="1" x14ac:dyDescent="0.25"/>
    <row r="2137" s="7" customFormat="1" x14ac:dyDescent="0.25"/>
    <row r="2138" s="7" customFormat="1" x14ac:dyDescent="0.25"/>
    <row r="2139" s="7" customFormat="1" x14ac:dyDescent="0.25"/>
    <row r="2140" s="7" customFormat="1" x14ac:dyDescent="0.25"/>
    <row r="2141" s="7" customFormat="1" x14ac:dyDescent="0.25"/>
    <row r="2142" s="7" customFormat="1" x14ac:dyDescent="0.25"/>
    <row r="2143" s="7" customFormat="1" x14ac:dyDescent="0.25"/>
    <row r="2144" s="7" customFormat="1" x14ac:dyDescent="0.25"/>
    <row r="2145" s="7" customFormat="1" x14ac:dyDescent="0.25"/>
    <row r="2146" s="7" customFormat="1" x14ac:dyDescent="0.25"/>
    <row r="2147" s="7" customFormat="1" x14ac:dyDescent="0.25"/>
    <row r="2148" s="7" customFormat="1" x14ac:dyDescent="0.25"/>
    <row r="2149" s="7" customFormat="1" x14ac:dyDescent="0.25"/>
    <row r="2150" s="7" customFormat="1" x14ac:dyDescent="0.25"/>
    <row r="2151" s="7" customFormat="1" x14ac:dyDescent="0.25"/>
    <row r="2152" s="7" customFormat="1" x14ac:dyDescent="0.25"/>
    <row r="2153" s="7" customFormat="1" x14ac:dyDescent="0.25"/>
    <row r="2154" s="7" customFormat="1" x14ac:dyDescent="0.25"/>
    <row r="2155" s="7" customFormat="1" x14ac:dyDescent="0.25"/>
    <row r="2156" s="7" customFormat="1" x14ac:dyDescent="0.25"/>
    <row r="2157" s="7" customFormat="1" x14ac:dyDescent="0.25"/>
    <row r="2158" s="7" customFormat="1" x14ac:dyDescent="0.25"/>
    <row r="2159" s="7" customFormat="1" x14ac:dyDescent="0.25"/>
    <row r="2160" s="7" customFormat="1" x14ac:dyDescent="0.25"/>
    <row r="2161" s="7" customFormat="1" x14ac:dyDescent="0.25"/>
    <row r="2162" s="7" customFormat="1" x14ac:dyDescent="0.25"/>
    <row r="2163" s="7" customFormat="1" x14ac:dyDescent="0.25"/>
    <row r="2164" s="7" customFormat="1" x14ac:dyDescent="0.25"/>
    <row r="2165" s="7" customFormat="1" x14ac:dyDescent="0.25"/>
    <row r="2166" s="7" customFormat="1" x14ac:dyDescent="0.25"/>
    <row r="2167" s="7" customFormat="1" x14ac:dyDescent="0.25"/>
    <row r="2168" s="7" customFormat="1" x14ac:dyDescent="0.25"/>
    <row r="2169" s="7" customFormat="1" x14ac:dyDescent="0.25"/>
    <row r="2170" s="7" customFormat="1" x14ac:dyDescent="0.25"/>
    <row r="2171" s="7" customFormat="1" x14ac:dyDescent="0.25"/>
    <row r="2172" s="7" customFormat="1" x14ac:dyDescent="0.25"/>
    <row r="2173" s="7" customFormat="1" x14ac:dyDescent="0.25"/>
    <row r="2174" s="7" customFormat="1" x14ac:dyDescent="0.25"/>
    <row r="2175" s="7" customFormat="1" x14ac:dyDescent="0.25"/>
    <row r="2176" s="7" customFormat="1" x14ac:dyDescent="0.25"/>
    <row r="2177" s="7" customFormat="1" x14ac:dyDescent="0.25"/>
    <row r="2178" s="7" customFormat="1" x14ac:dyDescent="0.25"/>
    <row r="2179" s="7" customFormat="1" x14ac:dyDescent="0.25"/>
    <row r="2180" s="7" customFormat="1" x14ac:dyDescent="0.25"/>
    <row r="2181" s="7" customFormat="1" x14ac:dyDescent="0.25"/>
    <row r="2182" s="7" customFormat="1" x14ac:dyDescent="0.25"/>
    <row r="2183" s="7" customFormat="1" x14ac:dyDescent="0.25"/>
    <row r="2184" s="7" customFormat="1" x14ac:dyDescent="0.25"/>
    <row r="2185" s="7" customFormat="1" x14ac:dyDescent="0.25"/>
    <row r="2186" s="7" customFormat="1" x14ac:dyDescent="0.25"/>
    <row r="2187" s="7" customFormat="1" x14ac:dyDescent="0.25"/>
    <row r="2188" s="7" customFormat="1" x14ac:dyDescent="0.25"/>
    <row r="2189" s="7" customFormat="1" x14ac:dyDescent="0.25"/>
    <row r="2190" s="7" customFormat="1" x14ac:dyDescent="0.25"/>
    <row r="2191" s="7" customFormat="1" x14ac:dyDescent="0.25"/>
    <row r="2192" s="7" customFormat="1" x14ac:dyDescent="0.25"/>
    <row r="2193" s="7" customFormat="1" x14ac:dyDescent="0.25"/>
    <row r="2194" s="7" customFormat="1" x14ac:dyDescent="0.25"/>
    <row r="2195" s="7" customFormat="1" x14ac:dyDescent="0.25"/>
    <row r="2196" s="7" customFormat="1" x14ac:dyDescent="0.25"/>
    <row r="2197" s="7" customFormat="1" x14ac:dyDescent="0.25"/>
    <row r="2198" s="7" customFormat="1" x14ac:dyDescent="0.25"/>
    <row r="2199" s="7" customFormat="1" x14ac:dyDescent="0.25"/>
    <row r="2200" s="7" customFormat="1" x14ac:dyDescent="0.25"/>
    <row r="2201" s="7" customFormat="1" x14ac:dyDescent="0.25"/>
    <row r="2202" s="7" customFormat="1" x14ac:dyDescent="0.25"/>
    <row r="2203" s="7" customFormat="1" x14ac:dyDescent="0.25"/>
    <row r="2204" s="7" customFormat="1" x14ac:dyDescent="0.25"/>
    <row r="2205" s="7" customFormat="1" x14ac:dyDescent="0.25"/>
    <row r="2206" s="7" customFormat="1" x14ac:dyDescent="0.25"/>
    <row r="2207" s="7" customFormat="1" x14ac:dyDescent="0.25"/>
    <row r="2208" s="7" customFormat="1" x14ac:dyDescent="0.25"/>
    <row r="2209" s="7" customFormat="1" x14ac:dyDescent="0.25"/>
    <row r="2210" s="7" customFormat="1" x14ac:dyDescent="0.25"/>
    <row r="2211" s="7" customFormat="1" x14ac:dyDescent="0.25"/>
    <row r="2212" s="7" customFormat="1" x14ac:dyDescent="0.25"/>
    <row r="2213" s="7" customFormat="1" x14ac:dyDescent="0.25"/>
    <row r="2214" s="7" customFormat="1" x14ac:dyDescent="0.25"/>
    <row r="2215" s="7" customFormat="1" x14ac:dyDescent="0.25"/>
    <row r="2216" s="7" customFormat="1" x14ac:dyDescent="0.25"/>
    <row r="2217" s="7" customFormat="1" x14ac:dyDescent="0.25"/>
    <row r="2218" s="7" customFormat="1" x14ac:dyDescent="0.25"/>
    <row r="2219" s="7" customFormat="1" x14ac:dyDescent="0.25"/>
    <row r="2220" s="7" customFormat="1" x14ac:dyDescent="0.25"/>
    <row r="2221" s="7" customFormat="1" x14ac:dyDescent="0.25"/>
    <row r="2222" s="7" customFormat="1" x14ac:dyDescent="0.25"/>
    <row r="2223" s="7" customFormat="1" x14ac:dyDescent="0.25"/>
    <row r="2224" s="7" customFormat="1" x14ac:dyDescent="0.25"/>
    <row r="2225" s="7" customFormat="1" x14ac:dyDescent="0.25"/>
    <row r="2226" s="7" customFormat="1" x14ac:dyDescent="0.25"/>
    <row r="2227" s="7" customFormat="1" x14ac:dyDescent="0.25"/>
    <row r="2228" s="7" customFormat="1" x14ac:dyDescent="0.25"/>
    <row r="2229" s="7" customFormat="1" x14ac:dyDescent="0.25"/>
    <row r="2230" s="7" customFormat="1" x14ac:dyDescent="0.25"/>
    <row r="2231" s="7" customFormat="1" x14ac:dyDescent="0.25"/>
    <row r="2232" s="7" customFormat="1" x14ac:dyDescent="0.25"/>
    <row r="2233" s="7" customFormat="1" x14ac:dyDescent="0.25"/>
    <row r="2234" s="7" customFormat="1" x14ac:dyDescent="0.25"/>
    <row r="2235" s="7" customFormat="1" x14ac:dyDescent="0.25"/>
    <row r="2236" s="7" customFormat="1" x14ac:dyDescent="0.25"/>
    <row r="2237" s="7" customFormat="1" x14ac:dyDescent="0.25"/>
    <row r="2238" s="7" customFormat="1" x14ac:dyDescent="0.25"/>
    <row r="2239" s="7" customFormat="1" x14ac:dyDescent="0.25"/>
    <row r="2240" s="7" customFormat="1" x14ac:dyDescent="0.25"/>
    <row r="2241" s="7" customFormat="1" x14ac:dyDescent="0.25"/>
    <row r="2242" s="7" customFormat="1" x14ac:dyDescent="0.25"/>
    <row r="2243" s="7" customFormat="1" x14ac:dyDescent="0.25"/>
    <row r="2244" s="7" customFormat="1" x14ac:dyDescent="0.25"/>
    <row r="2245" s="7" customFormat="1" x14ac:dyDescent="0.25"/>
    <row r="2246" s="7" customFormat="1" x14ac:dyDescent="0.25"/>
    <row r="2247" s="7" customFormat="1" x14ac:dyDescent="0.25"/>
    <row r="2248" s="7" customFormat="1" x14ac:dyDescent="0.25"/>
    <row r="2249" s="7" customFormat="1" x14ac:dyDescent="0.25"/>
    <row r="2250" s="7" customFormat="1" x14ac:dyDescent="0.25"/>
    <row r="2251" s="7" customFormat="1" x14ac:dyDescent="0.25"/>
    <row r="2252" s="7" customFormat="1" x14ac:dyDescent="0.25"/>
    <row r="2253" s="7" customFormat="1" x14ac:dyDescent="0.25"/>
    <row r="2254" s="7" customFormat="1" x14ac:dyDescent="0.25"/>
    <row r="2255" s="7" customFormat="1" x14ac:dyDescent="0.25"/>
    <row r="2256" s="7" customFormat="1" x14ac:dyDescent="0.25"/>
    <row r="2257" s="7" customFormat="1" x14ac:dyDescent="0.25"/>
    <row r="2258" s="7" customFormat="1" x14ac:dyDescent="0.25"/>
    <row r="2259" s="7" customFormat="1" x14ac:dyDescent="0.25"/>
    <row r="2260" s="7" customFormat="1" x14ac:dyDescent="0.25"/>
    <row r="2261" s="7" customFormat="1" x14ac:dyDescent="0.25"/>
    <row r="2262" s="7" customFormat="1" x14ac:dyDescent="0.25"/>
    <row r="2263" s="7" customFormat="1" x14ac:dyDescent="0.25"/>
    <row r="2264" s="7" customFormat="1" x14ac:dyDescent="0.25"/>
    <row r="2265" s="7" customFormat="1" x14ac:dyDescent="0.25"/>
    <row r="2266" s="7" customFormat="1" x14ac:dyDescent="0.25"/>
    <row r="2267" s="7" customFormat="1" x14ac:dyDescent="0.25"/>
    <row r="2268" s="7" customFormat="1" x14ac:dyDescent="0.25"/>
    <row r="2269" s="7" customFormat="1" x14ac:dyDescent="0.25"/>
    <row r="2270" s="7" customFormat="1" x14ac:dyDescent="0.25"/>
    <row r="2271" s="7" customFormat="1" x14ac:dyDescent="0.25"/>
    <row r="2272" s="7" customFormat="1" x14ac:dyDescent="0.25"/>
    <row r="2273" s="7" customFormat="1" x14ac:dyDescent="0.25"/>
    <row r="2274" s="7" customFormat="1" x14ac:dyDescent="0.25"/>
    <row r="2275" s="7" customFormat="1" x14ac:dyDescent="0.25"/>
    <row r="2276" s="7" customFormat="1" x14ac:dyDescent="0.25"/>
    <row r="2277" s="7" customFormat="1" x14ac:dyDescent="0.25"/>
    <row r="2278" s="7" customFormat="1" x14ac:dyDescent="0.25"/>
    <row r="2279" s="7" customFormat="1" x14ac:dyDescent="0.25"/>
    <row r="2280" s="7" customFormat="1" x14ac:dyDescent="0.25"/>
    <row r="2281" s="7" customFormat="1" x14ac:dyDescent="0.25"/>
    <row r="2282" s="7" customFormat="1" x14ac:dyDescent="0.25"/>
    <row r="2283" s="7" customFormat="1" x14ac:dyDescent="0.25"/>
    <row r="2284" s="7" customFormat="1" x14ac:dyDescent="0.25"/>
    <row r="2285" s="7" customFormat="1" x14ac:dyDescent="0.25"/>
    <row r="2286" s="7" customFormat="1" x14ac:dyDescent="0.25"/>
    <row r="2287" s="7" customFormat="1" x14ac:dyDescent="0.25"/>
    <row r="2288" s="7" customFormat="1" x14ac:dyDescent="0.25"/>
    <row r="2289" s="7" customFormat="1" x14ac:dyDescent="0.25"/>
    <row r="2290" s="7" customFormat="1" x14ac:dyDescent="0.25"/>
    <row r="2291" s="7" customFormat="1" x14ac:dyDescent="0.25"/>
    <row r="2292" s="7" customFormat="1" x14ac:dyDescent="0.25"/>
    <row r="2293" s="7" customFormat="1" x14ac:dyDescent="0.25"/>
    <row r="2294" s="7" customFormat="1" x14ac:dyDescent="0.25"/>
    <row r="2295" s="7" customFormat="1" x14ac:dyDescent="0.25"/>
    <row r="2296" s="7" customFormat="1" x14ac:dyDescent="0.25"/>
    <row r="2297" s="7" customFormat="1" x14ac:dyDescent="0.25"/>
    <row r="2298" s="7" customFormat="1" x14ac:dyDescent="0.25"/>
    <row r="2299" s="7" customFormat="1" x14ac:dyDescent="0.25"/>
    <row r="2300" s="7" customFormat="1" x14ac:dyDescent="0.25"/>
    <row r="2301" s="7" customFormat="1" x14ac:dyDescent="0.25"/>
    <row r="2302" s="7" customFormat="1" x14ac:dyDescent="0.25"/>
    <row r="2303" s="7" customFormat="1" x14ac:dyDescent="0.25"/>
    <row r="2304" s="7" customFormat="1" x14ac:dyDescent="0.25"/>
    <row r="2305" s="7" customFormat="1" x14ac:dyDescent="0.25"/>
    <row r="2306" s="7" customFormat="1" x14ac:dyDescent="0.25"/>
    <row r="2307" s="7" customFormat="1" x14ac:dyDescent="0.25"/>
    <row r="2308" s="7" customFormat="1" x14ac:dyDescent="0.25"/>
    <row r="2309" s="7" customFormat="1" x14ac:dyDescent="0.25"/>
    <row r="2310" s="7" customFormat="1" x14ac:dyDescent="0.25"/>
    <row r="2311" s="7" customFormat="1" x14ac:dyDescent="0.25"/>
    <row r="2312" s="7" customFormat="1" x14ac:dyDescent="0.25"/>
    <row r="2313" s="7" customFormat="1" x14ac:dyDescent="0.25"/>
    <row r="2314" s="7" customFormat="1" x14ac:dyDescent="0.25"/>
    <row r="2315" s="7" customFormat="1" x14ac:dyDescent="0.25"/>
    <row r="2316" s="7" customFormat="1" x14ac:dyDescent="0.25"/>
    <row r="2317" s="7" customFormat="1" x14ac:dyDescent="0.25"/>
    <row r="2318" s="7" customFormat="1" x14ac:dyDescent="0.25"/>
    <row r="2319" s="7" customFormat="1" x14ac:dyDescent="0.25"/>
    <row r="2320" s="7" customFormat="1" x14ac:dyDescent="0.25"/>
    <row r="2321" s="7" customFormat="1" x14ac:dyDescent="0.25"/>
    <row r="2322" s="7" customFormat="1" x14ac:dyDescent="0.25"/>
    <row r="2323" s="7" customFormat="1" x14ac:dyDescent="0.25"/>
    <row r="2324" s="7" customFormat="1" x14ac:dyDescent="0.25"/>
    <row r="2325" s="7" customFormat="1" x14ac:dyDescent="0.25"/>
    <row r="2326" s="7" customFormat="1" x14ac:dyDescent="0.25"/>
    <row r="2327" s="7" customFormat="1" x14ac:dyDescent="0.25"/>
    <row r="2328" s="7" customFormat="1" x14ac:dyDescent="0.25"/>
    <row r="2329" s="7" customFormat="1" x14ac:dyDescent="0.25"/>
    <row r="2330" s="7" customFormat="1" x14ac:dyDescent="0.25"/>
    <row r="2331" s="7" customFormat="1" x14ac:dyDescent="0.25"/>
    <row r="2332" s="7" customFormat="1" x14ac:dyDescent="0.25"/>
    <row r="2333" s="7" customFormat="1" x14ac:dyDescent="0.25"/>
    <row r="2334" s="7" customFormat="1" x14ac:dyDescent="0.25"/>
    <row r="2335" s="7" customFormat="1" x14ac:dyDescent="0.25"/>
    <row r="2336" s="7" customFormat="1" x14ac:dyDescent="0.25"/>
    <row r="2337" s="7" customFormat="1" x14ac:dyDescent="0.25"/>
    <row r="2338" s="7" customFormat="1" x14ac:dyDescent="0.25"/>
    <row r="2339" s="7" customFormat="1" x14ac:dyDescent="0.25"/>
    <row r="2340" s="7" customFormat="1" x14ac:dyDescent="0.25"/>
    <row r="2341" s="7" customFormat="1" x14ac:dyDescent="0.25"/>
    <row r="2342" s="7" customFormat="1" x14ac:dyDescent="0.25"/>
    <row r="2343" s="7" customFormat="1" x14ac:dyDescent="0.25"/>
    <row r="2344" s="7" customFormat="1" x14ac:dyDescent="0.25"/>
    <row r="2345" s="7" customFormat="1" x14ac:dyDescent="0.25"/>
    <row r="2346" s="7" customFormat="1" x14ac:dyDescent="0.25"/>
    <row r="2347" s="7" customFormat="1" x14ac:dyDescent="0.25"/>
    <row r="2348" s="7" customFormat="1" x14ac:dyDescent="0.25"/>
    <row r="2349" s="7" customFormat="1" x14ac:dyDescent="0.25"/>
    <row r="2350" s="7" customFormat="1" x14ac:dyDescent="0.25"/>
    <row r="2351" s="7" customFormat="1" x14ac:dyDescent="0.25"/>
    <row r="2352" s="7" customFormat="1" x14ac:dyDescent="0.25"/>
    <row r="2353" s="7" customFormat="1" x14ac:dyDescent="0.25"/>
    <row r="2354" s="7" customFormat="1" x14ac:dyDescent="0.25"/>
    <row r="2355" s="7" customFormat="1" x14ac:dyDescent="0.25"/>
    <row r="2356" s="7" customFormat="1" x14ac:dyDescent="0.25"/>
    <row r="2357" s="7" customFormat="1" x14ac:dyDescent="0.25"/>
    <row r="2358" s="7" customFormat="1" x14ac:dyDescent="0.25"/>
    <row r="2359" s="7" customFormat="1" x14ac:dyDescent="0.25"/>
    <row r="2360" s="7" customFormat="1" x14ac:dyDescent="0.25"/>
    <row r="2361" s="7" customFormat="1" x14ac:dyDescent="0.25"/>
    <row r="2362" s="7" customFormat="1" x14ac:dyDescent="0.25"/>
    <row r="2363" s="7" customFormat="1" x14ac:dyDescent="0.25"/>
    <row r="2364" s="7" customFormat="1" x14ac:dyDescent="0.25"/>
    <row r="2365" s="7" customFormat="1" x14ac:dyDescent="0.25"/>
    <row r="2366" s="7" customFormat="1" x14ac:dyDescent="0.25"/>
    <row r="2367" s="7" customFormat="1" x14ac:dyDescent="0.25"/>
    <row r="2368" s="7" customFormat="1" x14ac:dyDescent="0.25"/>
    <row r="2369" s="7" customFormat="1" x14ac:dyDescent="0.25"/>
    <row r="2370" s="7" customFormat="1" x14ac:dyDescent="0.25"/>
    <row r="2371" s="7" customFormat="1" x14ac:dyDescent="0.25"/>
    <row r="2372" s="7" customFormat="1" x14ac:dyDescent="0.25"/>
    <row r="2373" s="7" customFormat="1" x14ac:dyDescent="0.25"/>
    <row r="2374" s="7" customFormat="1" x14ac:dyDescent="0.25"/>
    <row r="2375" s="7" customFormat="1" x14ac:dyDescent="0.25"/>
    <row r="2376" s="7" customFormat="1" x14ac:dyDescent="0.25"/>
    <row r="2377" s="7" customFormat="1" x14ac:dyDescent="0.25"/>
    <row r="2378" s="7" customFormat="1" x14ac:dyDescent="0.25"/>
    <row r="2379" s="7" customFormat="1" x14ac:dyDescent="0.25"/>
    <row r="2380" s="7" customFormat="1" x14ac:dyDescent="0.25"/>
    <row r="2381" s="7" customFormat="1" x14ac:dyDescent="0.25"/>
    <row r="2382" s="7" customFormat="1" x14ac:dyDescent="0.25"/>
    <row r="2383" s="7" customFormat="1" x14ac:dyDescent="0.25"/>
    <row r="2384" s="7" customFormat="1" x14ac:dyDescent="0.25"/>
    <row r="2385" s="7" customFormat="1" x14ac:dyDescent="0.25"/>
    <row r="2386" s="7" customFormat="1" x14ac:dyDescent="0.25"/>
    <row r="2387" s="7" customFormat="1" x14ac:dyDescent="0.25"/>
    <row r="2388" s="7" customFormat="1" x14ac:dyDescent="0.25"/>
    <row r="2389" s="7" customFormat="1" x14ac:dyDescent="0.25"/>
    <row r="2390" s="7" customFormat="1" x14ac:dyDescent="0.25"/>
    <row r="2391" s="7" customFormat="1" x14ac:dyDescent="0.25"/>
    <row r="2392" s="7" customFormat="1" x14ac:dyDescent="0.25"/>
    <row r="2393" s="7" customFormat="1" x14ac:dyDescent="0.25"/>
    <row r="2394" s="7" customFormat="1" x14ac:dyDescent="0.25"/>
    <row r="2395" s="7" customFormat="1" x14ac:dyDescent="0.25"/>
    <row r="2396" s="7" customFormat="1" x14ac:dyDescent="0.25"/>
    <row r="2397" s="7" customFormat="1" x14ac:dyDescent="0.25"/>
    <row r="2398" s="7" customFormat="1" x14ac:dyDescent="0.25"/>
    <row r="2399" s="7" customFormat="1" x14ac:dyDescent="0.25"/>
    <row r="2400" s="7" customFormat="1" x14ac:dyDescent="0.25"/>
    <row r="2401" s="7" customFormat="1" x14ac:dyDescent="0.25"/>
    <row r="2402" s="7" customFormat="1" x14ac:dyDescent="0.25"/>
    <row r="2403" s="7" customFormat="1" x14ac:dyDescent="0.25"/>
    <row r="2404" s="7" customFormat="1" x14ac:dyDescent="0.25"/>
    <row r="2405" s="7" customFormat="1" x14ac:dyDescent="0.25"/>
    <row r="2406" s="7" customFormat="1" x14ac:dyDescent="0.25"/>
    <row r="2407" s="7" customFormat="1" x14ac:dyDescent="0.25"/>
    <row r="2408" s="7" customFormat="1" x14ac:dyDescent="0.25"/>
    <row r="2409" s="7" customFormat="1" x14ac:dyDescent="0.25"/>
    <row r="2410" s="7" customFormat="1" x14ac:dyDescent="0.25"/>
    <row r="2411" s="7" customFormat="1" x14ac:dyDescent="0.25"/>
    <row r="2412" s="7" customFormat="1" x14ac:dyDescent="0.25"/>
    <row r="2413" s="7" customFormat="1" x14ac:dyDescent="0.25"/>
    <row r="2414" s="7" customFormat="1" x14ac:dyDescent="0.25"/>
    <row r="2415" s="7" customFormat="1" x14ac:dyDescent="0.25"/>
    <row r="2416" s="7" customFormat="1" x14ac:dyDescent="0.25"/>
    <row r="2417" s="7" customFormat="1" x14ac:dyDescent="0.25"/>
    <row r="2418" s="7" customFormat="1" x14ac:dyDescent="0.25"/>
    <row r="2419" s="7" customFormat="1" x14ac:dyDescent="0.25"/>
    <row r="2420" s="7" customFormat="1" x14ac:dyDescent="0.25"/>
    <row r="2421" s="7" customFormat="1" x14ac:dyDescent="0.25"/>
    <row r="2422" s="7" customFormat="1" x14ac:dyDescent="0.25"/>
    <row r="2423" s="7" customFormat="1" x14ac:dyDescent="0.25"/>
    <row r="2424" s="7" customFormat="1" x14ac:dyDescent="0.25"/>
    <row r="2425" s="7" customFormat="1" x14ac:dyDescent="0.25"/>
    <row r="2426" s="7" customFormat="1" x14ac:dyDescent="0.25"/>
    <row r="2427" s="7" customFormat="1" x14ac:dyDescent="0.25"/>
    <row r="2428" s="7" customFormat="1" x14ac:dyDescent="0.25"/>
    <row r="2429" s="7" customFormat="1" x14ac:dyDescent="0.25"/>
    <row r="2430" s="7" customFormat="1" x14ac:dyDescent="0.25"/>
    <row r="2431" s="7" customFormat="1" x14ac:dyDescent="0.25"/>
    <row r="2432" s="7" customFormat="1" x14ac:dyDescent="0.25"/>
    <row r="2433" s="7" customFormat="1" x14ac:dyDescent="0.25"/>
    <row r="2434" s="7" customFormat="1" x14ac:dyDescent="0.25"/>
    <row r="2435" s="7" customFormat="1" x14ac:dyDescent="0.25"/>
    <row r="2436" s="7" customFormat="1" x14ac:dyDescent="0.25"/>
    <row r="2437" s="7" customFormat="1" x14ac:dyDescent="0.25"/>
    <row r="2438" s="7" customFormat="1" x14ac:dyDescent="0.25"/>
    <row r="2439" s="7" customFormat="1" x14ac:dyDescent="0.25"/>
    <row r="2440" s="7" customFormat="1" x14ac:dyDescent="0.25"/>
    <row r="2441" s="7" customFormat="1" x14ac:dyDescent="0.25"/>
    <row r="2442" s="7" customFormat="1" x14ac:dyDescent="0.25"/>
    <row r="2443" s="7" customFormat="1" x14ac:dyDescent="0.25"/>
    <row r="2444" s="7" customFormat="1" x14ac:dyDescent="0.25"/>
    <row r="2445" s="7" customFormat="1" x14ac:dyDescent="0.25"/>
    <row r="2446" s="7" customFormat="1" x14ac:dyDescent="0.25"/>
    <row r="2447" s="7" customFormat="1" x14ac:dyDescent="0.25"/>
    <row r="2448" s="7" customFormat="1" x14ac:dyDescent="0.25"/>
    <row r="2449" s="7" customFormat="1" x14ac:dyDescent="0.25"/>
    <row r="2450" s="7" customFormat="1" x14ac:dyDescent="0.25"/>
    <row r="2451" s="7" customFormat="1" x14ac:dyDescent="0.25"/>
    <row r="2452" s="7" customFormat="1" x14ac:dyDescent="0.25"/>
    <row r="2453" s="7" customFormat="1" x14ac:dyDescent="0.25"/>
    <row r="2454" s="7" customFormat="1" x14ac:dyDescent="0.25"/>
    <row r="2455" s="7" customFormat="1" x14ac:dyDescent="0.25"/>
    <row r="2456" s="7" customFormat="1" x14ac:dyDescent="0.25"/>
    <row r="2457" s="7" customFormat="1" x14ac:dyDescent="0.25"/>
    <row r="2458" s="7" customFormat="1" x14ac:dyDescent="0.25"/>
    <row r="2459" s="7" customFormat="1" x14ac:dyDescent="0.25"/>
    <row r="2460" s="7" customFormat="1" x14ac:dyDescent="0.25"/>
    <row r="2461" s="7" customFormat="1" x14ac:dyDescent="0.25"/>
    <row r="2462" s="7" customFormat="1" x14ac:dyDescent="0.25"/>
    <row r="2463" s="7" customFormat="1" x14ac:dyDescent="0.25"/>
    <row r="2464" s="7" customFormat="1" x14ac:dyDescent="0.25"/>
    <row r="2465" s="7" customFormat="1" x14ac:dyDescent="0.25"/>
    <row r="2466" s="7" customFormat="1" x14ac:dyDescent="0.25"/>
    <row r="2467" s="7" customFormat="1" x14ac:dyDescent="0.25"/>
    <row r="2468" s="7" customFormat="1" x14ac:dyDescent="0.25"/>
    <row r="2469" s="7" customFormat="1" x14ac:dyDescent="0.25"/>
    <row r="2470" s="7" customFormat="1" x14ac:dyDescent="0.25"/>
    <row r="2471" s="7" customFormat="1" x14ac:dyDescent="0.25"/>
    <row r="2472" s="7" customFormat="1" x14ac:dyDescent="0.25"/>
    <row r="2473" s="7" customFormat="1" x14ac:dyDescent="0.25"/>
    <row r="2474" s="7" customFormat="1" x14ac:dyDescent="0.25"/>
    <row r="2475" s="7" customFormat="1" x14ac:dyDescent="0.25"/>
    <row r="2476" s="7" customFormat="1" x14ac:dyDescent="0.25"/>
    <row r="2477" s="7" customFormat="1" x14ac:dyDescent="0.25"/>
    <row r="2478" s="7" customFormat="1" x14ac:dyDescent="0.25"/>
    <row r="2479" s="7" customFormat="1" x14ac:dyDescent="0.25"/>
    <row r="2480" s="7" customFormat="1" x14ac:dyDescent="0.25"/>
    <row r="2481" s="7" customFormat="1" x14ac:dyDescent="0.25"/>
    <row r="2482" s="7" customFormat="1" x14ac:dyDescent="0.25"/>
    <row r="2483" s="7" customFormat="1" x14ac:dyDescent="0.25"/>
    <row r="2484" s="7" customFormat="1" x14ac:dyDescent="0.25"/>
    <row r="2485" s="7" customFormat="1" x14ac:dyDescent="0.25"/>
    <row r="2486" s="7" customFormat="1" x14ac:dyDescent="0.25"/>
    <row r="2487" s="7" customFormat="1" x14ac:dyDescent="0.25"/>
    <row r="2488" s="7" customFormat="1" x14ac:dyDescent="0.25"/>
    <row r="2489" s="7" customFormat="1" x14ac:dyDescent="0.25"/>
    <row r="2490" s="7" customFormat="1" x14ac:dyDescent="0.25"/>
    <row r="2491" s="7" customFormat="1" x14ac:dyDescent="0.25"/>
    <row r="2492" s="7" customFormat="1" x14ac:dyDescent="0.25"/>
    <row r="2493" s="7" customFormat="1" x14ac:dyDescent="0.25"/>
    <row r="2494" s="7" customFormat="1" x14ac:dyDescent="0.25"/>
    <row r="2495" s="7" customFormat="1" x14ac:dyDescent="0.25"/>
    <row r="2496" s="7" customFormat="1" x14ac:dyDescent="0.25"/>
    <row r="2497" s="7" customFormat="1" x14ac:dyDescent="0.25"/>
    <row r="2498" s="7" customFormat="1" x14ac:dyDescent="0.25"/>
    <row r="2499" s="7" customFormat="1" x14ac:dyDescent="0.25"/>
    <row r="2500" s="7" customFormat="1" x14ac:dyDescent="0.25"/>
    <row r="2501" s="7" customFormat="1" x14ac:dyDescent="0.25"/>
    <row r="2502" s="7" customFormat="1" x14ac:dyDescent="0.25"/>
    <row r="2503" s="7" customFormat="1" x14ac:dyDescent="0.25"/>
    <row r="2504" s="7" customFormat="1" x14ac:dyDescent="0.25"/>
    <row r="2505" s="7" customFormat="1" x14ac:dyDescent="0.25"/>
    <row r="2506" s="7" customFormat="1" x14ac:dyDescent="0.25"/>
    <row r="2507" s="7" customFormat="1" x14ac:dyDescent="0.25"/>
    <row r="2508" s="7" customFormat="1" x14ac:dyDescent="0.25"/>
    <row r="2509" s="7" customFormat="1" x14ac:dyDescent="0.25"/>
    <row r="2510" s="7" customFormat="1" x14ac:dyDescent="0.25"/>
    <row r="2511" s="7" customFormat="1" x14ac:dyDescent="0.25"/>
    <row r="2512" s="7" customFormat="1" x14ac:dyDescent="0.25"/>
    <row r="2513" s="7" customFormat="1" x14ac:dyDescent="0.25"/>
    <row r="2514" s="7" customFormat="1" x14ac:dyDescent="0.25"/>
    <row r="2515" s="7" customFormat="1" x14ac:dyDescent="0.25"/>
    <row r="2516" s="7" customFormat="1" x14ac:dyDescent="0.25"/>
    <row r="2517" s="7" customFormat="1" x14ac:dyDescent="0.25"/>
    <row r="2518" s="7" customFormat="1" x14ac:dyDescent="0.25"/>
    <row r="2519" s="7" customFormat="1" x14ac:dyDescent="0.25"/>
    <row r="2520" s="7" customFormat="1" x14ac:dyDescent="0.25"/>
    <row r="2521" s="7" customFormat="1" x14ac:dyDescent="0.25"/>
    <row r="2522" s="7" customFormat="1" x14ac:dyDescent="0.25"/>
    <row r="2523" s="7" customFormat="1" x14ac:dyDescent="0.25"/>
    <row r="2524" s="7" customFormat="1" x14ac:dyDescent="0.25"/>
    <row r="2525" s="7" customFormat="1" x14ac:dyDescent="0.25"/>
    <row r="2526" s="7" customFormat="1" x14ac:dyDescent="0.25"/>
    <row r="2527" s="7" customFormat="1" x14ac:dyDescent="0.25"/>
    <row r="2528" s="7" customFormat="1" x14ac:dyDescent="0.25"/>
    <row r="2529" s="7" customFormat="1" x14ac:dyDescent="0.25"/>
    <row r="2530" s="7" customFormat="1" x14ac:dyDescent="0.25"/>
    <row r="2531" s="7" customFormat="1" x14ac:dyDescent="0.25"/>
    <row r="2532" s="7" customFormat="1" x14ac:dyDescent="0.25"/>
    <row r="2533" s="7" customFormat="1" x14ac:dyDescent="0.25"/>
    <row r="2534" s="7" customFormat="1" x14ac:dyDescent="0.25"/>
    <row r="2535" s="7" customFormat="1" x14ac:dyDescent="0.25"/>
    <row r="2536" s="7" customFormat="1" x14ac:dyDescent="0.25"/>
    <row r="2537" s="7" customFormat="1" x14ac:dyDescent="0.25"/>
    <row r="2538" s="7" customFormat="1" x14ac:dyDescent="0.25"/>
    <row r="2539" s="7" customFormat="1" x14ac:dyDescent="0.25"/>
    <row r="2540" s="7" customFormat="1" x14ac:dyDescent="0.25"/>
    <row r="2541" s="7" customFormat="1" x14ac:dyDescent="0.25"/>
    <row r="2542" s="7" customFormat="1" x14ac:dyDescent="0.25"/>
    <row r="2543" s="7" customFormat="1" x14ac:dyDescent="0.25"/>
    <row r="2544" s="7" customFormat="1" x14ac:dyDescent="0.25"/>
    <row r="2545" s="7" customFormat="1" x14ac:dyDescent="0.25"/>
    <row r="2546" s="7" customFormat="1" x14ac:dyDescent="0.25"/>
    <row r="2547" s="7" customFormat="1" x14ac:dyDescent="0.25"/>
    <row r="2548" s="7" customFormat="1" x14ac:dyDescent="0.25"/>
    <row r="2549" s="7" customFormat="1" x14ac:dyDescent="0.25"/>
    <row r="2550" s="7" customFormat="1" x14ac:dyDescent="0.25"/>
    <row r="2551" s="7" customFormat="1" x14ac:dyDescent="0.25"/>
    <row r="2552" s="7" customFormat="1" x14ac:dyDescent="0.25"/>
    <row r="2553" s="7" customFormat="1" x14ac:dyDescent="0.25"/>
    <row r="2554" s="7" customFormat="1" x14ac:dyDescent="0.25"/>
    <row r="2555" s="7" customFormat="1" x14ac:dyDescent="0.25"/>
    <row r="2556" s="7" customFormat="1" x14ac:dyDescent="0.25"/>
    <row r="2557" s="7" customFormat="1" x14ac:dyDescent="0.25"/>
    <row r="2558" s="7" customFormat="1" x14ac:dyDescent="0.25"/>
    <row r="2559" s="7" customFormat="1" x14ac:dyDescent="0.25"/>
    <row r="2560" s="7" customFormat="1" x14ac:dyDescent="0.25"/>
    <row r="2561" s="7" customFormat="1" x14ac:dyDescent="0.25"/>
    <row r="2562" s="7" customFormat="1" x14ac:dyDescent="0.25"/>
    <row r="2563" s="7" customFormat="1" x14ac:dyDescent="0.25"/>
    <row r="2564" s="7" customFormat="1" x14ac:dyDescent="0.25"/>
    <row r="2565" s="7" customFormat="1" x14ac:dyDescent="0.25"/>
    <row r="2566" s="7" customFormat="1" x14ac:dyDescent="0.25"/>
    <row r="2567" s="7" customFormat="1" x14ac:dyDescent="0.25"/>
    <row r="2568" s="7" customFormat="1" x14ac:dyDescent="0.25"/>
    <row r="2569" s="7" customFormat="1" x14ac:dyDescent="0.25"/>
    <row r="2570" s="7" customFormat="1" x14ac:dyDescent="0.25"/>
    <row r="2571" s="7" customFormat="1" x14ac:dyDescent="0.25"/>
    <row r="2572" s="7" customFormat="1" x14ac:dyDescent="0.25"/>
    <row r="2573" s="7" customFormat="1" x14ac:dyDescent="0.25"/>
    <row r="2574" s="7" customFormat="1" x14ac:dyDescent="0.25"/>
    <row r="2575" s="7" customFormat="1" x14ac:dyDescent="0.25"/>
    <row r="2576" s="7" customFormat="1" x14ac:dyDescent="0.25"/>
    <row r="2577" s="7" customFormat="1" x14ac:dyDescent="0.25"/>
    <row r="2578" s="7" customFormat="1" x14ac:dyDescent="0.25"/>
    <row r="2579" s="7" customFormat="1" x14ac:dyDescent="0.25"/>
    <row r="2580" s="7" customFormat="1" x14ac:dyDescent="0.25"/>
    <row r="2581" s="7" customFormat="1" x14ac:dyDescent="0.25"/>
    <row r="2582" s="7" customFormat="1" x14ac:dyDescent="0.25"/>
    <row r="2583" s="7" customFormat="1" x14ac:dyDescent="0.25"/>
    <row r="2584" s="7" customFormat="1" x14ac:dyDescent="0.25"/>
    <row r="2585" s="7" customFormat="1" x14ac:dyDescent="0.25"/>
    <row r="2586" s="7" customFormat="1" x14ac:dyDescent="0.25"/>
    <row r="2587" s="7" customFormat="1" x14ac:dyDescent="0.25"/>
    <row r="2588" s="7" customFormat="1" x14ac:dyDescent="0.25"/>
    <row r="2589" s="7" customFormat="1" x14ac:dyDescent="0.25"/>
    <row r="2590" s="7" customFormat="1" x14ac:dyDescent="0.25"/>
    <row r="2591" s="7" customFormat="1" x14ac:dyDescent="0.25"/>
    <row r="2592" s="7" customFormat="1" x14ac:dyDescent="0.25"/>
    <row r="2593" s="7" customFormat="1" x14ac:dyDescent="0.25"/>
    <row r="2594" s="7" customFormat="1" x14ac:dyDescent="0.25"/>
    <row r="2595" s="7" customFormat="1" x14ac:dyDescent="0.25"/>
    <row r="2596" s="7" customFormat="1" x14ac:dyDescent="0.25"/>
    <row r="2597" s="7" customFormat="1" x14ac:dyDescent="0.25"/>
    <row r="2598" s="7" customFormat="1" x14ac:dyDescent="0.25"/>
    <row r="2599" s="7" customFormat="1" x14ac:dyDescent="0.25"/>
    <row r="2600" s="7" customFormat="1" x14ac:dyDescent="0.25"/>
    <row r="2601" s="7" customFormat="1" x14ac:dyDescent="0.25"/>
    <row r="2602" s="7" customFormat="1" x14ac:dyDescent="0.25"/>
    <row r="2603" s="7" customFormat="1" x14ac:dyDescent="0.25"/>
    <row r="2604" s="7" customFormat="1" x14ac:dyDescent="0.25"/>
    <row r="2605" s="7" customFormat="1" x14ac:dyDescent="0.25"/>
    <row r="2606" s="7" customFormat="1" x14ac:dyDescent="0.25"/>
    <row r="2607" s="7" customFormat="1" x14ac:dyDescent="0.25"/>
    <row r="2608" s="7" customFormat="1" x14ac:dyDescent="0.25"/>
    <row r="2609" s="7" customFormat="1" x14ac:dyDescent="0.25"/>
    <row r="2610" s="7" customFormat="1" x14ac:dyDescent="0.25"/>
    <row r="2611" s="7" customFormat="1" x14ac:dyDescent="0.25"/>
    <row r="2612" s="7" customFormat="1" x14ac:dyDescent="0.25"/>
    <row r="2613" s="7" customFormat="1" x14ac:dyDescent="0.25"/>
    <row r="2614" s="7" customFormat="1" x14ac:dyDescent="0.25"/>
    <row r="2615" s="7" customFormat="1" x14ac:dyDescent="0.25"/>
    <row r="2616" s="7" customFormat="1" x14ac:dyDescent="0.25"/>
    <row r="2617" s="7" customFormat="1" x14ac:dyDescent="0.25"/>
    <row r="2618" s="7" customFormat="1" x14ac:dyDescent="0.25"/>
    <row r="2619" s="7" customFormat="1" x14ac:dyDescent="0.25"/>
    <row r="2620" s="7" customFormat="1" x14ac:dyDescent="0.25"/>
    <row r="2621" s="7" customFormat="1" x14ac:dyDescent="0.25"/>
    <row r="2622" s="7" customFormat="1" x14ac:dyDescent="0.25"/>
    <row r="2623" s="7" customFormat="1" x14ac:dyDescent="0.25"/>
    <row r="2624" s="7" customFormat="1" x14ac:dyDescent="0.25"/>
    <row r="2625" s="7" customFormat="1" x14ac:dyDescent="0.25"/>
    <row r="2626" s="7" customFormat="1" x14ac:dyDescent="0.25"/>
    <row r="2627" s="7" customFormat="1" x14ac:dyDescent="0.25"/>
    <row r="2628" s="7" customFormat="1" x14ac:dyDescent="0.25"/>
    <row r="2629" s="7" customFormat="1" x14ac:dyDescent="0.25"/>
    <row r="2630" s="7" customFormat="1" x14ac:dyDescent="0.25"/>
    <row r="2631" s="7" customFormat="1" x14ac:dyDescent="0.25"/>
    <row r="2632" s="7" customFormat="1" x14ac:dyDescent="0.25"/>
    <row r="2633" s="7" customFormat="1" x14ac:dyDescent="0.25"/>
    <row r="2634" s="7" customFormat="1" x14ac:dyDescent="0.25"/>
    <row r="2635" s="7" customFormat="1" x14ac:dyDescent="0.25"/>
    <row r="2636" s="7" customFormat="1" x14ac:dyDescent="0.25"/>
    <row r="2637" s="7" customFormat="1" x14ac:dyDescent="0.25"/>
    <row r="2638" s="7" customFormat="1" x14ac:dyDescent="0.25"/>
    <row r="2639" s="7" customFormat="1" x14ac:dyDescent="0.25"/>
    <row r="2640" s="7" customFormat="1" x14ac:dyDescent="0.25"/>
    <row r="2641" s="7" customFormat="1" x14ac:dyDescent="0.25"/>
    <row r="2642" s="7" customFormat="1" x14ac:dyDescent="0.25"/>
    <row r="2643" s="7" customFormat="1" x14ac:dyDescent="0.25"/>
    <row r="2644" s="7" customFormat="1" x14ac:dyDescent="0.25"/>
    <row r="2645" s="7" customFormat="1" x14ac:dyDescent="0.25"/>
    <row r="2646" s="7" customFormat="1" x14ac:dyDescent="0.25"/>
    <row r="2647" s="7" customFormat="1" x14ac:dyDescent="0.25"/>
    <row r="2648" s="7" customFormat="1" x14ac:dyDescent="0.25"/>
    <row r="2649" s="7" customFormat="1" x14ac:dyDescent="0.25"/>
    <row r="2650" s="7" customFormat="1" x14ac:dyDescent="0.25"/>
    <row r="2651" s="7" customFormat="1" x14ac:dyDescent="0.25"/>
    <row r="2652" s="7" customFormat="1" x14ac:dyDescent="0.25"/>
    <row r="2653" s="7" customFormat="1" x14ac:dyDescent="0.25"/>
    <row r="2654" s="7" customFormat="1" x14ac:dyDescent="0.25"/>
    <row r="2655" s="7" customFormat="1" x14ac:dyDescent="0.25"/>
    <row r="2656" s="7" customFormat="1" x14ac:dyDescent="0.25"/>
    <row r="2657" s="7" customFormat="1" x14ac:dyDescent="0.25"/>
    <row r="2658" s="7" customFormat="1" x14ac:dyDescent="0.25"/>
    <row r="2659" s="7" customFormat="1" x14ac:dyDescent="0.25"/>
    <row r="2660" s="7" customFormat="1" x14ac:dyDescent="0.25"/>
    <row r="2661" s="7" customFormat="1" x14ac:dyDescent="0.25"/>
    <row r="2662" s="7" customFormat="1" x14ac:dyDescent="0.25"/>
    <row r="2663" s="7" customFormat="1" x14ac:dyDescent="0.25"/>
    <row r="2664" s="7" customFormat="1" x14ac:dyDescent="0.25"/>
    <row r="2665" s="7" customFormat="1" x14ac:dyDescent="0.25"/>
    <row r="2666" s="7" customFormat="1" x14ac:dyDescent="0.25"/>
    <row r="2667" s="7" customFormat="1" x14ac:dyDescent="0.25"/>
    <row r="2668" s="7" customFormat="1" x14ac:dyDescent="0.25"/>
    <row r="2669" s="7" customFormat="1" x14ac:dyDescent="0.25"/>
    <row r="2670" s="7" customFormat="1" x14ac:dyDescent="0.25"/>
    <row r="2671" s="7" customFormat="1" x14ac:dyDescent="0.25"/>
    <row r="2672" s="7" customFormat="1" x14ac:dyDescent="0.25"/>
    <row r="2673" s="7" customFormat="1" x14ac:dyDescent="0.25"/>
    <row r="2674" s="7" customFormat="1" x14ac:dyDescent="0.25"/>
    <row r="2675" s="7" customFormat="1" x14ac:dyDescent="0.25"/>
    <row r="2676" s="7" customFormat="1" x14ac:dyDescent="0.25"/>
    <row r="2677" s="7" customFormat="1" x14ac:dyDescent="0.25"/>
    <row r="2678" s="7" customFormat="1" x14ac:dyDescent="0.25"/>
    <row r="2679" s="7" customFormat="1" x14ac:dyDescent="0.25"/>
    <row r="2680" s="7" customFormat="1" x14ac:dyDescent="0.25"/>
    <row r="2681" s="7" customFormat="1" x14ac:dyDescent="0.25"/>
    <row r="2682" s="7" customFormat="1" x14ac:dyDescent="0.25"/>
    <row r="2683" s="7" customFormat="1" x14ac:dyDescent="0.25"/>
    <row r="2684" s="7" customFormat="1" x14ac:dyDescent="0.25"/>
    <row r="2685" s="7" customFormat="1" x14ac:dyDescent="0.25"/>
    <row r="2686" s="7" customFormat="1" x14ac:dyDescent="0.25"/>
    <row r="2687" s="7" customFormat="1" x14ac:dyDescent="0.25"/>
    <row r="2688" s="7" customFormat="1" x14ac:dyDescent="0.25"/>
    <row r="2689" s="7" customFormat="1" x14ac:dyDescent="0.25"/>
    <row r="2690" s="7" customFormat="1" x14ac:dyDescent="0.25"/>
    <row r="2691" s="7" customFormat="1" x14ac:dyDescent="0.25"/>
    <row r="2692" s="7" customFormat="1" x14ac:dyDescent="0.25"/>
    <row r="2693" s="7" customFormat="1" x14ac:dyDescent="0.25"/>
    <row r="2694" s="7" customFormat="1" x14ac:dyDescent="0.25"/>
    <row r="2695" s="7" customFormat="1" x14ac:dyDescent="0.25"/>
    <row r="2696" s="7" customFormat="1" x14ac:dyDescent="0.25"/>
    <row r="2697" s="7" customFormat="1" x14ac:dyDescent="0.25"/>
    <row r="2698" s="7" customFormat="1" x14ac:dyDescent="0.25"/>
    <row r="2699" s="7" customFormat="1" x14ac:dyDescent="0.25"/>
    <row r="2700" s="7" customFormat="1" x14ac:dyDescent="0.25"/>
    <row r="2701" s="7" customFormat="1" x14ac:dyDescent="0.25"/>
    <row r="2702" s="7" customFormat="1" x14ac:dyDescent="0.25"/>
    <row r="2703" s="7" customFormat="1" x14ac:dyDescent="0.25"/>
    <row r="2704" s="7" customFormat="1" x14ac:dyDescent="0.25"/>
    <row r="2705" s="7" customFormat="1" x14ac:dyDescent="0.25"/>
    <row r="2706" s="7" customFormat="1" x14ac:dyDescent="0.25"/>
    <row r="2707" s="7" customFormat="1" x14ac:dyDescent="0.25"/>
    <row r="2708" s="7" customFormat="1" x14ac:dyDescent="0.25"/>
    <row r="2709" s="7" customFormat="1" x14ac:dyDescent="0.25"/>
    <row r="2710" s="7" customFormat="1" x14ac:dyDescent="0.25"/>
    <row r="2711" s="7" customFormat="1" x14ac:dyDescent="0.25"/>
    <row r="2712" s="7" customFormat="1" x14ac:dyDescent="0.25"/>
    <row r="2713" s="7" customFormat="1" x14ac:dyDescent="0.25"/>
    <row r="2714" s="7" customFormat="1" x14ac:dyDescent="0.25"/>
    <row r="2715" s="7" customFormat="1" x14ac:dyDescent="0.25"/>
    <row r="2716" s="7" customFormat="1" x14ac:dyDescent="0.25"/>
    <row r="2717" s="7" customFormat="1" x14ac:dyDescent="0.25"/>
    <row r="2718" s="7" customFormat="1" x14ac:dyDescent="0.25"/>
    <row r="2719" s="7" customFormat="1" x14ac:dyDescent="0.25"/>
    <row r="2720" s="7" customFormat="1" x14ac:dyDescent="0.25"/>
    <row r="2721" s="7" customFormat="1" x14ac:dyDescent="0.25"/>
    <row r="2722" s="7" customFormat="1" x14ac:dyDescent="0.25"/>
    <row r="2723" s="7" customFormat="1" x14ac:dyDescent="0.25"/>
    <row r="2724" s="7" customFormat="1" x14ac:dyDescent="0.25"/>
    <row r="2725" s="7" customFormat="1" x14ac:dyDescent="0.25"/>
    <row r="2726" s="7" customFormat="1" x14ac:dyDescent="0.25"/>
    <row r="2727" s="7" customFormat="1" x14ac:dyDescent="0.25"/>
    <row r="2728" s="7" customFormat="1" x14ac:dyDescent="0.25"/>
    <row r="2729" s="7" customFormat="1" x14ac:dyDescent="0.25"/>
    <row r="2730" s="7" customFormat="1" x14ac:dyDescent="0.25"/>
    <row r="2731" s="7" customFormat="1" x14ac:dyDescent="0.25"/>
    <row r="2732" s="7" customFormat="1" x14ac:dyDescent="0.25"/>
    <row r="2733" s="7" customFormat="1" x14ac:dyDescent="0.25"/>
    <row r="2734" s="7" customFormat="1" x14ac:dyDescent="0.25"/>
    <row r="2735" s="7" customFormat="1" x14ac:dyDescent="0.25"/>
    <row r="2736" s="7" customFormat="1" x14ac:dyDescent="0.25"/>
    <row r="2737" s="7" customFormat="1" x14ac:dyDescent="0.25"/>
    <row r="2738" s="7" customFormat="1" x14ac:dyDescent="0.25"/>
    <row r="2739" s="7" customFormat="1" x14ac:dyDescent="0.25"/>
    <row r="2740" s="7" customFormat="1" x14ac:dyDescent="0.25"/>
    <row r="2741" s="7" customFormat="1" x14ac:dyDescent="0.25"/>
    <row r="2742" s="7" customFormat="1" x14ac:dyDescent="0.25"/>
    <row r="2743" s="7" customFormat="1" x14ac:dyDescent="0.25"/>
    <row r="2744" s="7" customFormat="1" x14ac:dyDescent="0.25"/>
    <row r="2745" s="7" customFormat="1" x14ac:dyDescent="0.25"/>
    <row r="2746" s="7" customFormat="1" x14ac:dyDescent="0.25"/>
    <row r="2747" s="7" customFormat="1" x14ac:dyDescent="0.25"/>
    <row r="2748" s="7" customFormat="1" x14ac:dyDescent="0.25"/>
    <row r="2749" s="7" customFormat="1" x14ac:dyDescent="0.25"/>
    <row r="2750" s="7" customFormat="1" x14ac:dyDescent="0.25"/>
    <row r="2751" s="7" customFormat="1" x14ac:dyDescent="0.25"/>
    <row r="2752" s="7" customFormat="1" x14ac:dyDescent="0.25"/>
    <row r="2753" s="7" customFormat="1" x14ac:dyDescent="0.25"/>
    <row r="2754" s="7" customFormat="1" x14ac:dyDescent="0.25"/>
    <row r="2755" s="7" customFormat="1" x14ac:dyDescent="0.25"/>
    <row r="2756" s="7" customFormat="1" x14ac:dyDescent="0.25"/>
    <row r="2757" s="7" customFormat="1" x14ac:dyDescent="0.25"/>
    <row r="2758" s="7" customFormat="1" x14ac:dyDescent="0.25"/>
    <row r="2759" s="7" customFormat="1" x14ac:dyDescent="0.25"/>
    <row r="2760" s="7" customFormat="1" x14ac:dyDescent="0.25"/>
    <row r="2761" s="7" customFormat="1" x14ac:dyDescent="0.25"/>
    <row r="2762" s="7" customFormat="1" x14ac:dyDescent="0.25"/>
    <row r="2763" s="7" customFormat="1" x14ac:dyDescent="0.25"/>
    <row r="2764" s="7" customFormat="1" x14ac:dyDescent="0.25"/>
    <row r="2765" s="7" customFormat="1" x14ac:dyDescent="0.25"/>
    <row r="2766" s="7" customFormat="1" x14ac:dyDescent="0.25"/>
    <row r="2767" s="7" customFormat="1" x14ac:dyDescent="0.25"/>
    <row r="2768" s="7" customFormat="1" x14ac:dyDescent="0.25"/>
    <row r="2769" s="7" customFormat="1" x14ac:dyDescent="0.25"/>
    <row r="2770" s="7" customFormat="1" x14ac:dyDescent="0.25"/>
    <row r="2771" s="7" customFormat="1" x14ac:dyDescent="0.25"/>
    <row r="2772" s="7" customFormat="1" x14ac:dyDescent="0.25"/>
    <row r="2773" s="7" customFormat="1" x14ac:dyDescent="0.25"/>
    <row r="2774" s="7" customFormat="1" x14ac:dyDescent="0.25"/>
    <row r="2775" s="7" customFormat="1" x14ac:dyDescent="0.25"/>
    <row r="2776" s="7" customFormat="1" x14ac:dyDescent="0.25"/>
    <row r="2777" s="7" customFormat="1" x14ac:dyDescent="0.25"/>
    <row r="2778" s="7" customFormat="1" x14ac:dyDescent="0.25"/>
    <row r="2779" s="7" customFormat="1" x14ac:dyDescent="0.25"/>
    <row r="2780" s="7" customFormat="1" x14ac:dyDescent="0.25"/>
    <row r="2781" s="7" customFormat="1" x14ac:dyDescent="0.25"/>
    <row r="2782" s="7" customFormat="1" x14ac:dyDescent="0.25"/>
    <row r="2783" s="7" customFormat="1" x14ac:dyDescent="0.25"/>
    <row r="2784" s="7" customFormat="1" x14ac:dyDescent="0.25"/>
    <row r="2785" s="7" customFormat="1" x14ac:dyDescent="0.25"/>
    <row r="2786" s="7" customFormat="1" x14ac:dyDescent="0.25"/>
    <row r="2787" s="7" customFormat="1" x14ac:dyDescent="0.25"/>
    <row r="2788" s="7" customFormat="1" x14ac:dyDescent="0.25"/>
    <row r="2789" s="7" customFormat="1" x14ac:dyDescent="0.25"/>
    <row r="2790" s="7" customFormat="1" x14ac:dyDescent="0.25"/>
    <row r="2791" s="7" customFormat="1" x14ac:dyDescent="0.25"/>
    <row r="2792" s="7" customFormat="1" x14ac:dyDescent="0.25"/>
    <row r="2793" s="7" customFormat="1" x14ac:dyDescent="0.25"/>
    <row r="2794" s="7" customFormat="1" x14ac:dyDescent="0.25"/>
    <row r="2795" s="7" customFormat="1" x14ac:dyDescent="0.25"/>
    <row r="2796" s="7" customFormat="1" x14ac:dyDescent="0.25"/>
    <row r="2797" s="7" customFormat="1" x14ac:dyDescent="0.25"/>
    <row r="2798" s="7" customFormat="1" x14ac:dyDescent="0.25"/>
    <row r="2799" s="7" customFormat="1" x14ac:dyDescent="0.25"/>
    <row r="2800" s="7" customFormat="1" x14ac:dyDescent="0.25"/>
    <row r="2801" s="7" customFormat="1" x14ac:dyDescent="0.25"/>
    <row r="2802" s="7" customFormat="1" x14ac:dyDescent="0.25"/>
    <row r="2803" s="7" customFormat="1" x14ac:dyDescent="0.25"/>
    <row r="2804" s="7" customFormat="1" x14ac:dyDescent="0.25"/>
    <row r="2805" s="7" customFormat="1" x14ac:dyDescent="0.25"/>
    <row r="2806" s="7" customFormat="1" x14ac:dyDescent="0.25"/>
    <row r="2807" s="7" customFormat="1" x14ac:dyDescent="0.25"/>
    <row r="2808" s="7" customFormat="1" x14ac:dyDescent="0.25"/>
    <row r="2809" s="7" customFormat="1" x14ac:dyDescent="0.25"/>
    <row r="2810" s="7" customFormat="1" x14ac:dyDescent="0.25"/>
    <row r="2811" s="7" customFormat="1" x14ac:dyDescent="0.25"/>
    <row r="2812" s="7" customFormat="1" x14ac:dyDescent="0.25"/>
    <row r="2813" s="7" customFormat="1" x14ac:dyDescent="0.25"/>
    <row r="2814" s="7" customFormat="1" x14ac:dyDescent="0.25"/>
    <row r="2815" s="7" customFormat="1" x14ac:dyDescent="0.25"/>
    <row r="2816" s="7" customFormat="1" x14ac:dyDescent="0.25"/>
    <row r="2817" s="7" customFormat="1" x14ac:dyDescent="0.25"/>
    <row r="2818" s="7" customFormat="1" x14ac:dyDescent="0.25"/>
    <row r="2819" s="7" customFormat="1" x14ac:dyDescent="0.25"/>
    <row r="2820" s="7" customFormat="1" x14ac:dyDescent="0.25"/>
    <row r="2821" s="7" customFormat="1" x14ac:dyDescent="0.25"/>
    <row r="2822" s="7" customFormat="1" x14ac:dyDescent="0.25"/>
    <row r="2823" s="7" customFormat="1" x14ac:dyDescent="0.25"/>
    <row r="2824" s="7" customFormat="1" x14ac:dyDescent="0.25"/>
    <row r="2825" s="7" customFormat="1" x14ac:dyDescent="0.25"/>
    <row r="2826" s="7" customFormat="1" x14ac:dyDescent="0.25"/>
    <row r="2827" s="7" customFormat="1" x14ac:dyDescent="0.25"/>
    <row r="2828" s="7" customFormat="1" x14ac:dyDescent="0.25"/>
    <row r="2829" s="7" customFormat="1" x14ac:dyDescent="0.25"/>
    <row r="2830" s="7" customFormat="1" x14ac:dyDescent="0.25"/>
    <row r="2831" s="7" customFormat="1" x14ac:dyDescent="0.25"/>
    <row r="2832" s="7" customFormat="1" x14ac:dyDescent="0.25"/>
    <row r="2833" s="7" customFormat="1" x14ac:dyDescent="0.25"/>
    <row r="2834" s="7" customFormat="1" x14ac:dyDescent="0.25"/>
    <row r="2835" s="7" customFormat="1" x14ac:dyDescent="0.25"/>
    <row r="2836" s="7" customFormat="1" x14ac:dyDescent="0.25"/>
    <row r="2837" s="7" customFormat="1" x14ac:dyDescent="0.25"/>
    <row r="2838" s="7" customFormat="1" x14ac:dyDescent="0.25"/>
    <row r="2839" s="7" customFormat="1" x14ac:dyDescent="0.25"/>
    <row r="2840" s="7" customFormat="1" x14ac:dyDescent="0.25"/>
    <row r="2841" s="7" customFormat="1" x14ac:dyDescent="0.25"/>
    <row r="2842" s="7" customFormat="1" x14ac:dyDescent="0.25"/>
    <row r="2843" s="7" customFormat="1" x14ac:dyDescent="0.25"/>
    <row r="2844" s="7" customFormat="1" x14ac:dyDescent="0.25"/>
    <row r="2845" s="7" customFormat="1" x14ac:dyDescent="0.25"/>
    <row r="2846" s="7" customFormat="1" x14ac:dyDescent="0.25"/>
    <row r="2847" s="7" customFormat="1" x14ac:dyDescent="0.25"/>
    <row r="2848" s="7" customFormat="1" x14ac:dyDescent="0.25"/>
    <row r="2849" s="7" customFormat="1" x14ac:dyDescent="0.25"/>
    <row r="2850" s="7" customFormat="1" x14ac:dyDescent="0.25"/>
    <row r="2851" s="7" customFormat="1" x14ac:dyDescent="0.25"/>
    <row r="2852" s="7" customFormat="1" x14ac:dyDescent="0.25"/>
    <row r="2853" s="7" customFormat="1" x14ac:dyDescent="0.25"/>
    <row r="2854" s="7" customFormat="1" x14ac:dyDescent="0.25"/>
    <row r="2855" s="7" customFormat="1" x14ac:dyDescent="0.25"/>
    <row r="2856" s="7" customFormat="1" x14ac:dyDescent="0.25"/>
    <row r="2857" s="7" customFormat="1" x14ac:dyDescent="0.25"/>
    <row r="2858" s="7" customFormat="1" x14ac:dyDescent="0.25"/>
    <row r="2859" s="7" customFormat="1" x14ac:dyDescent="0.25"/>
    <row r="2860" s="7" customFormat="1" x14ac:dyDescent="0.25"/>
    <row r="2861" s="7" customFormat="1" x14ac:dyDescent="0.25"/>
    <row r="2862" s="7" customFormat="1" x14ac:dyDescent="0.25"/>
    <row r="2863" s="7" customFormat="1" x14ac:dyDescent="0.25"/>
    <row r="2864" s="7" customFormat="1" x14ac:dyDescent="0.25"/>
    <row r="2865" s="7" customFormat="1" x14ac:dyDescent="0.25"/>
    <row r="2866" s="7" customFormat="1" x14ac:dyDescent="0.25"/>
    <row r="2867" s="7" customFormat="1" x14ac:dyDescent="0.25"/>
    <row r="2868" s="7" customFormat="1" x14ac:dyDescent="0.25"/>
    <row r="2869" s="7" customFormat="1" x14ac:dyDescent="0.25"/>
    <row r="2870" s="7" customFormat="1" x14ac:dyDescent="0.25"/>
    <row r="2871" s="7" customFormat="1" x14ac:dyDescent="0.25"/>
    <row r="2872" s="7" customFormat="1" x14ac:dyDescent="0.25"/>
    <row r="2873" s="7" customFormat="1" x14ac:dyDescent="0.25"/>
    <row r="2874" s="7" customFormat="1" x14ac:dyDescent="0.25"/>
    <row r="2875" s="7" customFormat="1" x14ac:dyDescent="0.25"/>
    <row r="2876" s="7" customFormat="1" x14ac:dyDescent="0.25"/>
    <row r="2877" s="7" customFormat="1" x14ac:dyDescent="0.25"/>
    <row r="2878" s="7" customFormat="1" x14ac:dyDescent="0.25"/>
    <row r="2879" s="7" customFormat="1" x14ac:dyDescent="0.25"/>
    <row r="2880" s="7" customFormat="1" x14ac:dyDescent="0.25"/>
    <row r="2881" s="7" customFormat="1" x14ac:dyDescent="0.25"/>
    <row r="2882" s="7" customFormat="1" x14ac:dyDescent="0.25"/>
    <row r="2883" s="7" customFormat="1" x14ac:dyDescent="0.25"/>
    <row r="2884" s="7" customFormat="1" x14ac:dyDescent="0.25"/>
    <row r="2885" s="7" customFormat="1" x14ac:dyDescent="0.25"/>
    <row r="2886" s="7" customFormat="1" x14ac:dyDescent="0.25"/>
    <row r="2887" s="7" customFormat="1" x14ac:dyDescent="0.25"/>
    <row r="2888" s="7" customFormat="1" x14ac:dyDescent="0.25"/>
    <row r="2889" s="7" customFormat="1" x14ac:dyDescent="0.25"/>
    <row r="2890" s="7" customFormat="1" x14ac:dyDescent="0.25"/>
    <row r="2891" s="7" customFormat="1" x14ac:dyDescent="0.25"/>
    <row r="2892" s="7" customFormat="1" x14ac:dyDescent="0.25"/>
    <row r="2893" s="7" customFormat="1" x14ac:dyDescent="0.25"/>
    <row r="2894" s="7" customFormat="1" x14ac:dyDescent="0.25"/>
    <row r="2895" s="7" customFormat="1" x14ac:dyDescent="0.25"/>
    <row r="2896" s="7" customFormat="1" x14ac:dyDescent="0.25"/>
    <row r="2897" s="7" customFormat="1" x14ac:dyDescent="0.25"/>
    <row r="2898" s="7" customFormat="1" x14ac:dyDescent="0.25"/>
    <row r="2899" s="7" customFormat="1" x14ac:dyDescent="0.25"/>
    <row r="2900" s="7" customFormat="1" x14ac:dyDescent="0.25"/>
    <row r="2901" s="7" customFormat="1" x14ac:dyDescent="0.25"/>
    <row r="2902" s="7" customFormat="1" x14ac:dyDescent="0.25"/>
    <row r="2903" s="7" customFormat="1" x14ac:dyDescent="0.25"/>
    <row r="2904" s="7" customFormat="1" x14ac:dyDescent="0.25"/>
    <row r="2905" s="7" customFormat="1" x14ac:dyDescent="0.25"/>
    <row r="2906" s="7" customFormat="1" x14ac:dyDescent="0.25"/>
    <row r="2907" s="7" customFormat="1" x14ac:dyDescent="0.25"/>
    <row r="2908" s="7" customFormat="1" x14ac:dyDescent="0.25"/>
    <row r="2909" s="7" customFormat="1" x14ac:dyDescent="0.25"/>
    <row r="2910" s="7" customFormat="1" x14ac:dyDescent="0.25"/>
    <row r="2911" s="7" customFormat="1" x14ac:dyDescent="0.25"/>
    <row r="2912" s="7" customFormat="1" x14ac:dyDescent="0.25"/>
    <row r="2913" s="7" customFormat="1" x14ac:dyDescent="0.25"/>
    <row r="2914" s="7" customFormat="1" x14ac:dyDescent="0.25"/>
    <row r="2915" s="7" customFormat="1" x14ac:dyDescent="0.25"/>
    <row r="2916" s="7" customFormat="1" x14ac:dyDescent="0.25"/>
    <row r="2917" s="7" customFormat="1" x14ac:dyDescent="0.25"/>
    <row r="2918" s="7" customFormat="1" x14ac:dyDescent="0.25"/>
    <row r="2919" s="7" customFormat="1" x14ac:dyDescent="0.25"/>
    <row r="2920" s="7" customFormat="1" x14ac:dyDescent="0.25"/>
    <row r="2921" s="7" customFormat="1" x14ac:dyDescent="0.25"/>
    <row r="2922" s="7" customFormat="1" x14ac:dyDescent="0.25"/>
    <row r="2923" s="7" customFormat="1" x14ac:dyDescent="0.25"/>
    <row r="2924" s="7" customFormat="1" x14ac:dyDescent="0.25"/>
    <row r="2925" s="7" customFormat="1" x14ac:dyDescent="0.25"/>
    <row r="2926" s="7" customFormat="1" x14ac:dyDescent="0.25"/>
    <row r="2927" s="7" customFormat="1" x14ac:dyDescent="0.25"/>
    <row r="2928" s="7" customFormat="1" x14ac:dyDescent="0.25"/>
    <row r="2929" s="7" customFormat="1" x14ac:dyDescent="0.25"/>
    <row r="2930" s="7" customFormat="1" x14ac:dyDescent="0.25"/>
    <row r="2931" s="7" customFormat="1" x14ac:dyDescent="0.25"/>
    <row r="2932" s="7" customFormat="1" x14ac:dyDescent="0.25"/>
    <row r="2933" s="7" customFormat="1" x14ac:dyDescent="0.25"/>
    <row r="2934" s="7" customFormat="1" x14ac:dyDescent="0.25"/>
    <row r="2935" s="7" customFormat="1" x14ac:dyDescent="0.25"/>
    <row r="2936" s="7" customFormat="1" x14ac:dyDescent="0.25"/>
    <row r="2937" s="7" customFormat="1" x14ac:dyDescent="0.25"/>
    <row r="2938" s="7" customFormat="1" x14ac:dyDescent="0.25"/>
    <row r="2939" s="7" customFormat="1" x14ac:dyDescent="0.25"/>
    <row r="2940" s="7" customFormat="1" x14ac:dyDescent="0.25"/>
    <row r="2941" s="7" customFormat="1" x14ac:dyDescent="0.25"/>
    <row r="2942" s="7" customFormat="1" x14ac:dyDescent="0.25"/>
    <row r="2943" s="7" customFormat="1" x14ac:dyDescent="0.25"/>
    <row r="2944" s="7" customFormat="1" x14ac:dyDescent="0.25"/>
    <row r="2945" s="7" customFormat="1" x14ac:dyDescent="0.25"/>
    <row r="2946" s="7" customFormat="1" x14ac:dyDescent="0.25"/>
    <row r="2947" s="7" customFormat="1" x14ac:dyDescent="0.25"/>
    <row r="2948" s="7" customFormat="1" x14ac:dyDescent="0.25"/>
    <row r="2949" s="7" customFormat="1" x14ac:dyDescent="0.25"/>
    <row r="2950" s="7" customFormat="1" x14ac:dyDescent="0.25"/>
    <row r="2951" s="7" customFormat="1" x14ac:dyDescent="0.25"/>
    <row r="2952" s="7" customFormat="1" x14ac:dyDescent="0.25"/>
    <row r="2953" s="7" customFormat="1" x14ac:dyDescent="0.25"/>
    <row r="2954" s="7" customFormat="1" x14ac:dyDescent="0.25"/>
    <row r="2955" s="7" customFormat="1" x14ac:dyDescent="0.25"/>
    <row r="2956" s="7" customFormat="1" x14ac:dyDescent="0.25"/>
    <row r="2957" s="7" customFormat="1" x14ac:dyDescent="0.25"/>
    <row r="2958" s="7" customFormat="1" x14ac:dyDescent="0.25"/>
    <row r="2959" s="7" customFormat="1" x14ac:dyDescent="0.25"/>
    <row r="2960" s="7" customFormat="1" x14ac:dyDescent="0.25"/>
    <row r="2961" s="7" customFormat="1" x14ac:dyDescent="0.25"/>
    <row r="2962" s="7" customFormat="1" x14ac:dyDescent="0.25"/>
    <row r="2963" s="7" customFormat="1" x14ac:dyDescent="0.25"/>
    <row r="2964" s="7" customFormat="1" x14ac:dyDescent="0.25"/>
    <row r="2965" s="7" customFormat="1" x14ac:dyDescent="0.25"/>
    <row r="2966" s="7" customFormat="1" x14ac:dyDescent="0.25"/>
    <row r="2967" s="7" customFormat="1" x14ac:dyDescent="0.25"/>
    <row r="2968" s="7" customFormat="1" x14ac:dyDescent="0.25"/>
    <row r="2969" s="7" customFormat="1" x14ac:dyDescent="0.25"/>
    <row r="2970" s="7" customFormat="1" x14ac:dyDescent="0.25"/>
    <row r="2971" s="7" customFormat="1" x14ac:dyDescent="0.25"/>
    <row r="2972" s="7" customFormat="1" x14ac:dyDescent="0.25"/>
    <row r="2973" s="7" customFormat="1" x14ac:dyDescent="0.25"/>
    <row r="2974" s="7" customFormat="1" x14ac:dyDescent="0.25"/>
    <row r="2975" s="7" customFormat="1" x14ac:dyDescent="0.25"/>
    <row r="2976" s="7" customFormat="1" x14ac:dyDescent="0.25"/>
    <row r="2977" s="7" customFormat="1" x14ac:dyDescent="0.25"/>
    <row r="2978" s="7" customFormat="1" x14ac:dyDescent="0.25"/>
    <row r="2979" s="7" customFormat="1" x14ac:dyDescent="0.25"/>
    <row r="2980" s="7" customFormat="1" x14ac:dyDescent="0.25"/>
    <row r="2981" s="7" customFormat="1" x14ac:dyDescent="0.25"/>
    <row r="2982" s="7" customFormat="1" x14ac:dyDescent="0.25"/>
    <row r="2983" s="7" customFormat="1" x14ac:dyDescent="0.25"/>
    <row r="2984" s="7" customFormat="1" x14ac:dyDescent="0.25"/>
    <row r="2985" s="7" customFormat="1" x14ac:dyDescent="0.25"/>
    <row r="2986" s="7" customFormat="1" x14ac:dyDescent="0.25"/>
    <row r="2987" s="7" customFormat="1" x14ac:dyDescent="0.25"/>
    <row r="2988" s="7" customFormat="1" x14ac:dyDescent="0.25"/>
    <row r="2989" s="7" customFormat="1" x14ac:dyDescent="0.25"/>
    <row r="2990" s="7" customFormat="1" x14ac:dyDescent="0.25"/>
    <row r="2991" s="7" customFormat="1" x14ac:dyDescent="0.25"/>
    <row r="2992" s="7" customFormat="1" x14ac:dyDescent="0.25"/>
    <row r="2993" s="7" customFormat="1" x14ac:dyDescent="0.25"/>
    <row r="2994" s="7" customFormat="1" x14ac:dyDescent="0.25"/>
    <row r="2995" s="7" customFormat="1" x14ac:dyDescent="0.25"/>
    <row r="2996" s="7" customFormat="1" x14ac:dyDescent="0.25"/>
    <row r="2997" s="7" customFormat="1" x14ac:dyDescent="0.25"/>
    <row r="2998" s="7" customFormat="1" x14ac:dyDescent="0.25"/>
    <row r="2999" s="7" customFormat="1" x14ac:dyDescent="0.25"/>
    <row r="3000" s="7" customFormat="1" x14ac:dyDescent="0.25"/>
    <row r="3001" s="7" customFormat="1" x14ac:dyDescent="0.25"/>
    <row r="3002" s="7" customFormat="1" x14ac:dyDescent="0.25"/>
    <row r="3003" s="7" customFormat="1" x14ac:dyDescent="0.25"/>
    <row r="3004" s="7" customFormat="1" x14ac:dyDescent="0.25"/>
    <row r="3005" s="7" customFormat="1" x14ac:dyDescent="0.25"/>
    <row r="3006" s="7" customFormat="1" x14ac:dyDescent="0.25"/>
    <row r="3007" s="7" customFormat="1" x14ac:dyDescent="0.25"/>
    <row r="3008" s="7" customFormat="1" x14ac:dyDescent="0.25"/>
    <row r="3009" s="7" customFormat="1" x14ac:dyDescent="0.25"/>
    <row r="3010" s="7" customFormat="1" x14ac:dyDescent="0.25"/>
    <row r="3011" s="7" customFormat="1" x14ac:dyDescent="0.25"/>
    <row r="3012" s="7" customFormat="1" x14ac:dyDescent="0.25"/>
    <row r="3013" s="7" customFormat="1" x14ac:dyDescent="0.25"/>
    <row r="3014" s="7" customFormat="1" x14ac:dyDescent="0.25"/>
    <row r="3015" s="7" customFormat="1" x14ac:dyDescent="0.25"/>
    <row r="3016" s="7" customFormat="1" x14ac:dyDescent="0.25"/>
    <row r="3017" s="7" customFormat="1" x14ac:dyDescent="0.25"/>
    <row r="3018" s="7" customFormat="1" x14ac:dyDescent="0.25"/>
    <row r="3019" s="7" customFormat="1" x14ac:dyDescent="0.25"/>
    <row r="3020" s="7" customFormat="1" x14ac:dyDescent="0.25"/>
    <row r="3021" s="7" customFormat="1" x14ac:dyDescent="0.25"/>
    <row r="3022" s="7" customFormat="1" x14ac:dyDescent="0.25"/>
    <row r="3023" s="7" customFormat="1" x14ac:dyDescent="0.25"/>
    <row r="3024" s="7" customFormat="1" x14ac:dyDescent="0.25"/>
    <row r="3025" s="7" customFormat="1" x14ac:dyDescent="0.25"/>
    <row r="3026" s="7" customFormat="1" x14ac:dyDescent="0.25"/>
    <row r="3027" s="7" customFormat="1" x14ac:dyDescent="0.25"/>
    <row r="3028" s="7" customFormat="1" x14ac:dyDescent="0.25"/>
    <row r="3029" s="7" customFormat="1" x14ac:dyDescent="0.25"/>
    <row r="3030" s="7" customFormat="1" x14ac:dyDescent="0.25"/>
    <row r="3031" s="7" customFormat="1" x14ac:dyDescent="0.25"/>
    <row r="3032" s="7" customFormat="1" x14ac:dyDescent="0.25"/>
    <row r="3033" s="7" customFormat="1" x14ac:dyDescent="0.25"/>
    <row r="3034" s="7" customFormat="1" x14ac:dyDescent="0.25"/>
    <row r="3035" s="7" customFormat="1" x14ac:dyDescent="0.25"/>
    <row r="3036" s="7" customFormat="1" x14ac:dyDescent="0.25"/>
    <row r="3037" s="7" customFormat="1" x14ac:dyDescent="0.25"/>
    <row r="3038" s="7" customFormat="1" x14ac:dyDescent="0.25"/>
    <row r="3039" s="7" customFormat="1" x14ac:dyDescent="0.25"/>
    <row r="3040" s="7" customFormat="1" x14ac:dyDescent="0.25"/>
    <row r="3041" s="7" customFormat="1" x14ac:dyDescent="0.25"/>
    <row r="3042" s="7" customFormat="1" x14ac:dyDescent="0.25"/>
    <row r="3043" s="7" customFormat="1" x14ac:dyDescent="0.25"/>
    <row r="3044" s="7" customFormat="1" x14ac:dyDescent="0.25"/>
    <row r="3045" s="7" customFormat="1" x14ac:dyDescent="0.25"/>
    <row r="3046" s="7" customFormat="1" x14ac:dyDescent="0.25"/>
    <row r="3047" s="7" customFormat="1" x14ac:dyDescent="0.25"/>
    <row r="3048" s="7" customFormat="1" x14ac:dyDescent="0.25"/>
    <row r="3049" s="7" customFormat="1" x14ac:dyDescent="0.25"/>
    <row r="3050" s="7" customFormat="1" x14ac:dyDescent="0.25"/>
    <row r="3051" s="7" customFormat="1" x14ac:dyDescent="0.25"/>
    <row r="3052" s="7" customFormat="1" x14ac:dyDescent="0.25"/>
    <row r="3053" s="7" customFormat="1" x14ac:dyDescent="0.25"/>
    <row r="3054" s="7" customFormat="1" x14ac:dyDescent="0.25"/>
    <row r="3055" s="7" customFormat="1" x14ac:dyDescent="0.25"/>
    <row r="3056" s="7" customFormat="1" x14ac:dyDescent="0.25"/>
    <row r="3057" s="7" customFormat="1" x14ac:dyDescent="0.25"/>
    <row r="3058" s="7" customFormat="1" x14ac:dyDescent="0.25"/>
    <row r="3059" s="7" customFormat="1" x14ac:dyDescent="0.25"/>
    <row r="3060" s="7" customFormat="1" x14ac:dyDescent="0.25"/>
    <row r="3061" s="7" customFormat="1" x14ac:dyDescent="0.25"/>
    <row r="3062" s="7" customFormat="1" x14ac:dyDescent="0.25"/>
    <row r="3063" s="7" customFormat="1" x14ac:dyDescent="0.25"/>
    <row r="3064" s="7" customFormat="1" x14ac:dyDescent="0.25"/>
    <row r="3065" s="7" customFormat="1" x14ac:dyDescent="0.25"/>
    <row r="3066" s="7" customFormat="1" x14ac:dyDescent="0.25"/>
    <row r="3067" s="7" customFormat="1" x14ac:dyDescent="0.25"/>
    <row r="3068" s="7" customFormat="1" x14ac:dyDescent="0.25"/>
    <row r="3069" s="7" customFormat="1" x14ac:dyDescent="0.25"/>
    <row r="3070" s="7" customFormat="1" x14ac:dyDescent="0.25"/>
    <row r="3071" s="7" customFormat="1" x14ac:dyDescent="0.25"/>
    <row r="3072" s="7" customFormat="1" x14ac:dyDescent="0.25"/>
    <row r="3073" s="7" customFormat="1" x14ac:dyDescent="0.25"/>
    <row r="3074" s="7" customFormat="1" x14ac:dyDescent="0.25"/>
    <row r="3075" s="7" customFormat="1" x14ac:dyDescent="0.25"/>
    <row r="3076" s="7" customFormat="1" x14ac:dyDescent="0.25"/>
    <row r="3077" s="7" customFormat="1" x14ac:dyDescent="0.25"/>
    <row r="3078" s="7" customFormat="1" x14ac:dyDescent="0.25"/>
    <row r="3079" s="7" customFormat="1" x14ac:dyDescent="0.25"/>
    <row r="3080" s="7" customFormat="1" x14ac:dyDescent="0.25"/>
    <row r="3081" s="7" customFormat="1" x14ac:dyDescent="0.25"/>
    <row r="3082" s="7" customFormat="1" x14ac:dyDescent="0.25"/>
    <row r="3083" s="7" customFormat="1" x14ac:dyDescent="0.25"/>
    <row r="3084" s="7" customFormat="1" x14ac:dyDescent="0.25"/>
    <row r="3085" s="7" customFormat="1" x14ac:dyDescent="0.25"/>
    <row r="3086" s="7" customFormat="1" x14ac:dyDescent="0.25"/>
    <row r="3087" s="7" customFormat="1" x14ac:dyDescent="0.25"/>
    <row r="3088" s="7" customFormat="1" x14ac:dyDescent="0.25"/>
    <row r="3089" s="7" customFormat="1" x14ac:dyDescent="0.25"/>
    <row r="3090" s="7" customFormat="1" x14ac:dyDescent="0.25"/>
    <row r="3091" s="7" customFormat="1" x14ac:dyDescent="0.25"/>
    <row r="3092" s="7" customFormat="1" x14ac:dyDescent="0.25"/>
    <row r="3093" s="7" customFormat="1" x14ac:dyDescent="0.25"/>
    <row r="3094" s="7" customFormat="1" x14ac:dyDescent="0.25"/>
    <row r="3095" s="7" customFormat="1" x14ac:dyDescent="0.25"/>
    <row r="3096" s="7" customFormat="1" x14ac:dyDescent="0.25"/>
    <row r="3097" s="7" customFormat="1" x14ac:dyDescent="0.25"/>
    <row r="3098" s="7" customFormat="1" x14ac:dyDescent="0.25"/>
    <row r="3099" s="7" customFormat="1" x14ac:dyDescent="0.25"/>
    <row r="3100" s="7" customFormat="1" x14ac:dyDescent="0.25"/>
    <row r="3101" s="7" customFormat="1" x14ac:dyDescent="0.25"/>
    <row r="3102" s="7" customFormat="1" x14ac:dyDescent="0.25"/>
    <row r="3103" s="7" customFormat="1" x14ac:dyDescent="0.25"/>
    <row r="3104" s="7" customFormat="1" x14ac:dyDescent="0.25"/>
    <row r="3105" s="7" customFormat="1" x14ac:dyDescent="0.25"/>
    <row r="3106" s="7" customFormat="1" x14ac:dyDescent="0.25"/>
    <row r="3107" s="7" customFormat="1" x14ac:dyDescent="0.25"/>
    <row r="3108" s="7" customFormat="1" x14ac:dyDescent="0.25"/>
    <row r="3109" s="7" customFormat="1" x14ac:dyDescent="0.25"/>
    <row r="3110" s="7" customFormat="1" x14ac:dyDescent="0.25"/>
    <row r="3111" s="7" customFormat="1" x14ac:dyDescent="0.25"/>
    <row r="3112" s="7" customFormat="1" x14ac:dyDescent="0.25"/>
    <row r="3113" s="7" customFormat="1" x14ac:dyDescent="0.25"/>
    <row r="3114" s="7" customFormat="1" x14ac:dyDescent="0.25"/>
    <row r="3115" s="7" customFormat="1" x14ac:dyDescent="0.25"/>
    <row r="3116" s="7" customFormat="1" x14ac:dyDescent="0.25"/>
    <row r="3117" s="7" customFormat="1" x14ac:dyDescent="0.25"/>
    <row r="3118" s="7" customFormat="1" x14ac:dyDescent="0.25"/>
    <row r="3119" s="7" customFormat="1" x14ac:dyDescent="0.25"/>
    <row r="3120" s="7" customFormat="1" x14ac:dyDescent="0.25"/>
    <row r="3121" s="7" customFormat="1" x14ac:dyDescent="0.25"/>
    <row r="3122" s="7" customFormat="1" x14ac:dyDescent="0.25"/>
    <row r="3123" s="7" customFormat="1" x14ac:dyDescent="0.25"/>
    <row r="3124" s="7" customFormat="1" x14ac:dyDescent="0.25"/>
    <row r="3125" s="7" customFormat="1" x14ac:dyDescent="0.25"/>
    <row r="3126" s="7" customFormat="1" x14ac:dyDescent="0.25"/>
    <row r="3127" s="7" customFormat="1" x14ac:dyDescent="0.25"/>
    <row r="3128" s="7" customFormat="1" x14ac:dyDescent="0.25"/>
    <row r="3129" s="7" customFormat="1" x14ac:dyDescent="0.25"/>
    <row r="3130" s="7" customFormat="1" x14ac:dyDescent="0.25"/>
    <row r="3131" s="7" customFormat="1" x14ac:dyDescent="0.25"/>
    <row r="3132" s="7" customFormat="1" x14ac:dyDescent="0.25"/>
    <row r="3133" s="7" customFormat="1" x14ac:dyDescent="0.25"/>
    <row r="3134" s="7" customFormat="1" x14ac:dyDescent="0.25"/>
    <row r="3135" s="7" customFormat="1" x14ac:dyDescent="0.25"/>
    <row r="3136" s="7" customFormat="1" x14ac:dyDescent="0.25"/>
    <row r="3137" s="7" customFormat="1" x14ac:dyDescent="0.25"/>
    <row r="3138" s="7" customFormat="1" x14ac:dyDescent="0.25"/>
    <row r="3139" s="7" customFormat="1" x14ac:dyDescent="0.25"/>
    <row r="3140" s="7" customFormat="1" x14ac:dyDescent="0.25"/>
    <row r="3141" s="7" customFormat="1" x14ac:dyDescent="0.25"/>
    <row r="3142" s="7" customFormat="1" x14ac:dyDescent="0.25"/>
    <row r="3143" s="7" customFormat="1" x14ac:dyDescent="0.25"/>
    <row r="3144" s="7" customFormat="1" x14ac:dyDescent="0.25"/>
    <row r="3145" s="7" customFormat="1" x14ac:dyDescent="0.25"/>
    <row r="3146" s="7" customFormat="1" x14ac:dyDescent="0.25"/>
    <row r="3147" s="7" customFormat="1" x14ac:dyDescent="0.25"/>
    <row r="3148" s="7" customFormat="1" x14ac:dyDescent="0.25"/>
    <row r="3149" s="7" customFormat="1" x14ac:dyDescent="0.25"/>
    <row r="3150" s="7" customFormat="1" x14ac:dyDescent="0.25"/>
    <row r="3151" s="7" customFormat="1" x14ac:dyDescent="0.25"/>
    <row r="3152" s="7" customFormat="1" x14ac:dyDescent="0.25"/>
    <row r="3153" s="7" customFormat="1" x14ac:dyDescent="0.25"/>
    <row r="3154" s="7" customFormat="1" x14ac:dyDescent="0.25"/>
    <row r="3155" s="7" customFormat="1" x14ac:dyDescent="0.25"/>
    <row r="3156" s="7" customFormat="1" x14ac:dyDescent="0.25"/>
    <row r="3157" s="7" customFormat="1" x14ac:dyDescent="0.25"/>
    <row r="3158" s="7" customFormat="1" x14ac:dyDescent="0.25"/>
    <row r="3159" s="7" customFormat="1" x14ac:dyDescent="0.25"/>
    <row r="3160" s="7" customFormat="1" x14ac:dyDescent="0.25"/>
    <row r="3161" s="7" customFormat="1" x14ac:dyDescent="0.25"/>
    <row r="3162" s="7" customFormat="1" x14ac:dyDescent="0.25"/>
    <row r="3163" s="7" customFormat="1" x14ac:dyDescent="0.25"/>
    <row r="3164" s="7" customFormat="1" x14ac:dyDescent="0.25"/>
    <row r="3165" s="7" customFormat="1" x14ac:dyDescent="0.25"/>
    <row r="3166" s="7" customFormat="1" x14ac:dyDescent="0.25"/>
    <row r="3167" s="7" customFormat="1" x14ac:dyDescent="0.25"/>
    <row r="3168" s="7" customFormat="1" x14ac:dyDescent="0.25"/>
    <row r="3169" s="7" customFormat="1" x14ac:dyDescent="0.25"/>
    <row r="3170" s="7" customFormat="1" x14ac:dyDescent="0.25"/>
    <row r="3171" s="7" customFormat="1" x14ac:dyDescent="0.25"/>
    <row r="3172" s="7" customFormat="1" x14ac:dyDescent="0.25"/>
    <row r="3173" s="7" customFormat="1" x14ac:dyDescent="0.25"/>
    <row r="3174" s="7" customFormat="1" x14ac:dyDescent="0.25"/>
    <row r="3175" s="7" customFormat="1" x14ac:dyDescent="0.25"/>
    <row r="3176" s="7" customFormat="1" x14ac:dyDescent="0.25"/>
    <row r="3177" s="7" customFormat="1" x14ac:dyDescent="0.25"/>
    <row r="3178" s="7" customFormat="1" x14ac:dyDescent="0.25"/>
    <row r="3179" s="7" customFormat="1" x14ac:dyDescent="0.25"/>
    <row r="3180" s="7" customFormat="1" x14ac:dyDescent="0.25"/>
    <row r="3181" s="7" customFormat="1" x14ac:dyDescent="0.25"/>
    <row r="3182" s="7" customFormat="1" x14ac:dyDescent="0.25"/>
    <row r="3183" s="7" customFormat="1" x14ac:dyDescent="0.25"/>
    <row r="3184" s="7" customFormat="1" x14ac:dyDescent="0.25"/>
    <row r="3185" s="7" customFormat="1" x14ac:dyDescent="0.25"/>
    <row r="3186" s="7" customFormat="1" x14ac:dyDescent="0.25"/>
    <row r="3187" s="7" customFormat="1" x14ac:dyDescent="0.25"/>
    <row r="3188" s="7" customFormat="1" x14ac:dyDescent="0.25"/>
    <row r="3189" s="7" customFormat="1" x14ac:dyDescent="0.25"/>
    <row r="3190" s="7" customFormat="1" x14ac:dyDescent="0.25"/>
    <row r="3191" s="7" customFormat="1" x14ac:dyDescent="0.25"/>
    <row r="3192" s="7" customFormat="1" x14ac:dyDescent="0.25"/>
    <row r="3193" s="7" customFormat="1" x14ac:dyDescent="0.25"/>
    <row r="3194" s="7" customFormat="1" x14ac:dyDescent="0.25"/>
    <row r="3195" s="7" customFormat="1" x14ac:dyDescent="0.25"/>
    <row r="3196" s="7" customFormat="1" x14ac:dyDescent="0.25"/>
    <row r="3197" s="7" customFormat="1" x14ac:dyDescent="0.25"/>
    <row r="3198" s="7" customFormat="1" x14ac:dyDescent="0.25"/>
    <row r="3199" s="7" customFormat="1" x14ac:dyDescent="0.25"/>
    <row r="3200" s="7" customFormat="1" x14ac:dyDescent="0.25"/>
    <row r="3201" s="7" customFormat="1" x14ac:dyDescent="0.25"/>
    <row r="3202" s="7" customFormat="1" x14ac:dyDescent="0.25"/>
    <row r="3203" s="7" customFormat="1" x14ac:dyDescent="0.25"/>
    <row r="3204" s="7" customFormat="1" x14ac:dyDescent="0.25"/>
    <row r="3205" s="7" customFormat="1" x14ac:dyDescent="0.25"/>
    <row r="3206" s="7" customFormat="1" x14ac:dyDescent="0.25"/>
    <row r="3207" s="7" customFormat="1" x14ac:dyDescent="0.25"/>
    <row r="3208" s="7" customFormat="1" x14ac:dyDescent="0.25"/>
    <row r="3209" s="7" customFormat="1" x14ac:dyDescent="0.25"/>
    <row r="3210" s="7" customFormat="1" x14ac:dyDescent="0.25"/>
    <row r="3211" s="7" customFormat="1" x14ac:dyDescent="0.25"/>
    <row r="3212" s="7" customFormat="1" x14ac:dyDescent="0.25"/>
    <row r="3213" s="7" customFormat="1" x14ac:dyDescent="0.25"/>
    <row r="3214" s="7" customFormat="1" x14ac:dyDescent="0.25"/>
    <row r="3215" s="7" customFormat="1" x14ac:dyDescent="0.25"/>
    <row r="3216" s="7" customFormat="1" x14ac:dyDescent="0.25"/>
    <row r="3217" s="7" customFormat="1" x14ac:dyDescent="0.25"/>
    <row r="3218" s="7" customFormat="1" x14ac:dyDescent="0.25"/>
    <row r="3219" s="7" customFormat="1" x14ac:dyDescent="0.25"/>
    <row r="3220" s="7" customFormat="1" x14ac:dyDescent="0.25"/>
    <row r="3221" s="7" customFormat="1" x14ac:dyDescent="0.25"/>
    <row r="3222" s="7" customFormat="1" x14ac:dyDescent="0.25"/>
    <row r="3223" s="7" customFormat="1" x14ac:dyDescent="0.25"/>
    <row r="3224" s="7" customFormat="1" x14ac:dyDescent="0.25"/>
    <row r="3225" s="7" customFormat="1" x14ac:dyDescent="0.25"/>
    <row r="3226" s="7" customFormat="1" x14ac:dyDescent="0.25"/>
    <row r="3227" s="7" customFormat="1" x14ac:dyDescent="0.25"/>
    <row r="3228" s="7" customFormat="1" x14ac:dyDescent="0.25"/>
    <row r="3229" s="7" customFormat="1" x14ac:dyDescent="0.25"/>
    <row r="3230" s="7" customFormat="1" x14ac:dyDescent="0.25"/>
    <row r="3231" s="7" customFormat="1" x14ac:dyDescent="0.25"/>
    <row r="3232" s="7" customFormat="1" x14ac:dyDescent="0.25"/>
    <row r="3233" s="7" customFormat="1" x14ac:dyDescent="0.25"/>
    <row r="3234" s="7" customFormat="1" x14ac:dyDescent="0.25"/>
    <row r="3235" s="7" customFormat="1" x14ac:dyDescent="0.25"/>
    <row r="3236" s="7" customFormat="1" x14ac:dyDescent="0.25"/>
    <row r="3237" s="7" customFormat="1" x14ac:dyDescent="0.25"/>
    <row r="3238" s="7" customFormat="1" x14ac:dyDescent="0.25"/>
    <row r="3239" s="7" customFormat="1" x14ac:dyDescent="0.25"/>
    <row r="3240" s="7" customFormat="1" x14ac:dyDescent="0.25"/>
    <row r="3241" s="7" customFormat="1" x14ac:dyDescent="0.25"/>
    <row r="3242" s="7" customFormat="1" x14ac:dyDescent="0.25"/>
    <row r="3243" s="7" customFormat="1" x14ac:dyDescent="0.25"/>
    <row r="3244" s="7" customFormat="1" x14ac:dyDescent="0.25"/>
    <row r="3245" s="7" customFormat="1" x14ac:dyDescent="0.25"/>
    <row r="3246" s="7" customFormat="1" x14ac:dyDescent="0.25"/>
    <row r="3247" s="7" customFormat="1" x14ac:dyDescent="0.25"/>
    <row r="3248" s="7" customFormat="1" x14ac:dyDescent="0.25"/>
    <row r="3249" s="7" customFormat="1" x14ac:dyDescent="0.25"/>
    <row r="3250" s="7" customFormat="1" x14ac:dyDescent="0.25"/>
    <row r="3251" s="7" customFormat="1" x14ac:dyDescent="0.25"/>
    <row r="3252" s="7" customFormat="1" x14ac:dyDescent="0.25"/>
    <row r="3253" s="7" customFormat="1" x14ac:dyDescent="0.25"/>
    <row r="3254" s="7" customFormat="1" x14ac:dyDescent="0.25"/>
    <row r="3255" s="7" customFormat="1" x14ac:dyDescent="0.25"/>
    <row r="3256" s="7" customFormat="1" x14ac:dyDescent="0.25"/>
    <row r="3257" s="7" customFormat="1" x14ac:dyDescent="0.25"/>
    <row r="3258" s="7" customFormat="1" x14ac:dyDescent="0.25"/>
    <row r="3259" s="7" customFormat="1" x14ac:dyDescent="0.25"/>
    <row r="3260" s="7" customFormat="1" x14ac:dyDescent="0.25"/>
    <row r="3261" s="7" customFormat="1" x14ac:dyDescent="0.25"/>
    <row r="3262" s="7" customFormat="1" x14ac:dyDescent="0.25"/>
    <row r="3263" s="7" customFormat="1" x14ac:dyDescent="0.25"/>
    <row r="3264" s="7" customFormat="1" x14ac:dyDescent="0.25"/>
    <row r="3265" s="7" customFormat="1" x14ac:dyDescent="0.25"/>
    <row r="3266" s="7" customFormat="1" x14ac:dyDescent="0.25"/>
    <row r="3267" s="7" customFormat="1" x14ac:dyDescent="0.25"/>
    <row r="3268" s="7" customFormat="1" x14ac:dyDescent="0.25"/>
    <row r="3269" s="7" customFormat="1" x14ac:dyDescent="0.25"/>
    <row r="3270" s="7" customFormat="1" x14ac:dyDescent="0.25"/>
    <row r="3271" s="7" customFormat="1" x14ac:dyDescent="0.25"/>
    <row r="3272" s="7" customFormat="1" x14ac:dyDescent="0.25"/>
    <row r="3273" s="7" customFormat="1" x14ac:dyDescent="0.25"/>
    <row r="3274" s="7" customFormat="1" x14ac:dyDescent="0.25"/>
    <row r="3275" s="7" customFormat="1" x14ac:dyDescent="0.25"/>
    <row r="3276" s="7" customFormat="1" x14ac:dyDescent="0.25"/>
    <row r="3277" s="7" customFormat="1" x14ac:dyDescent="0.25"/>
    <row r="3278" s="7" customFormat="1" x14ac:dyDescent="0.25"/>
    <row r="3279" s="7" customFormat="1" x14ac:dyDescent="0.25"/>
    <row r="3280" s="7" customFormat="1" x14ac:dyDescent="0.25"/>
    <row r="3281" s="7" customFormat="1" x14ac:dyDescent="0.25"/>
    <row r="3282" s="7" customFormat="1" x14ac:dyDescent="0.25"/>
    <row r="3283" s="7" customFormat="1" x14ac:dyDescent="0.25"/>
    <row r="3284" s="7" customFormat="1" x14ac:dyDescent="0.25"/>
    <row r="3285" s="7" customFormat="1" x14ac:dyDescent="0.25"/>
    <row r="3286" s="7" customFormat="1" x14ac:dyDescent="0.25"/>
    <row r="3287" s="7" customFormat="1" x14ac:dyDescent="0.25"/>
    <row r="3288" s="7" customFormat="1" x14ac:dyDescent="0.25"/>
    <row r="3289" s="7" customFormat="1" x14ac:dyDescent="0.25"/>
    <row r="3290" s="7" customFormat="1" x14ac:dyDescent="0.25"/>
    <row r="3291" s="7" customFormat="1" x14ac:dyDescent="0.25"/>
    <row r="3292" s="7" customFormat="1" x14ac:dyDescent="0.25"/>
    <row r="3293" s="7" customFormat="1" x14ac:dyDescent="0.25"/>
    <row r="3294" s="7" customFormat="1" x14ac:dyDescent="0.25"/>
    <row r="3295" s="7" customFormat="1" x14ac:dyDescent="0.25"/>
    <row r="3296" s="7" customFormat="1" x14ac:dyDescent="0.25"/>
    <row r="3297" s="7" customFormat="1" x14ac:dyDescent="0.25"/>
    <row r="3298" s="7" customFormat="1" x14ac:dyDescent="0.25"/>
    <row r="3299" s="7" customFormat="1" x14ac:dyDescent="0.25"/>
    <row r="3300" s="7" customFormat="1" x14ac:dyDescent="0.25"/>
    <row r="3301" s="7" customFormat="1" x14ac:dyDescent="0.25"/>
    <row r="3302" s="7" customFormat="1" x14ac:dyDescent="0.25"/>
    <row r="3303" s="7" customFormat="1" x14ac:dyDescent="0.25"/>
    <row r="3304" s="7" customFormat="1" x14ac:dyDescent="0.25"/>
    <row r="3305" s="7" customFormat="1" x14ac:dyDescent="0.25"/>
    <row r="3306" s="7" customFormat="1" x14ac:dyDescent="0.25"/>
    <row r="3307" s="7" customFormat="1" x14ac:dyDescent="0.25"/>
    <row r="3308" s="7" customFormat="1" x14ac:dyDescent="0.25"/>
    <row r="3309" s="7" customFormat="1" x14ac:dyDescent="0.25"/>
    <row r="3310" s="7" customFormat="1" x14ac:dyDescent="0.25"/>
    <row r="3311" s="7" customFormat="1" x14ac:dyDescent="0.25"/>
    <row r="3312" s="7" customFormat="1" x14ac:dyDescent="0.25"/>
    <row r="3313" s="7" customFormat="1" x14ac:dyDescent="0.25"/>
    <row r="3314" s="7" customFormat="1" x14ac:dyDescent="0.25"/>
    <row r="3315" s="7" customFormat="1" x14ac:dyDescent="0.25"/>
    <row r="3316" s="7" customFormat="1" x14ac:dyDescent="0.25"/>
    <row r="3317" s="7" customFormat="1" x14ac:dyDescent="0.25"/>
    <row r="3318" s="7" customFormat="1" x14ac:dyDescent="0.25"/>
    <row r="3319" s="7" customFormat="1" x14ac:dyDescent="0.25"/>
    <row r="3320" s="7" customFormat="1" x14ac:dyDescent="0.25"/>
    <row r="3321" s="7" customFormat="1" x14ac:dyDescent="0.25"/>
    <row r="3322" s="7" customFormat="1" x14ac:dyDescent="0.25"/>
    <row r="3323" s="7" customFormat="1" x14ac:dyDescent="0.25"/>
    <row r="3324" s="7" customFormat="1" x14ac:dyDescent="0.25"/>
    <row r="3325" s="7" customFormat="1" x14ac:dyDescent="0.25"/>
    <row r="3326" s="7" customFormat="1" x14ac:dyDescent="0.25"/>
    <row r="3327" s="7" customFormat="1" x14ac:dyDescent="0.25"/>
    <row r="3328" s="7" customFormat="1" x14ac:dyDescent="0.25"/>
    <row r="3329" s="7" customFormat="1" x14ac:dyDescent="0.25"/>
    <row r="3330" s="7" customFormat="1" x14ac:dyDescent="0.25"/>
    <row r="3331" s="7" customFormat="1" x14ac:dyDescent="0.25"/>
    <row r="3332" s="7" customFormat="1" x14ac:dyDescent="0.25"/>
    <row r="3333" s="7" customFormat="1" x14ac:dyDescent="0.25"/>
    <row r="3334" s="7" customFormat="1" x14ac:dyDescent="0.25"/>
    <row r="3335" s="7" customFormat="1" x14ac:dyDescent="0.25"/>
    <row r="3336" s="7" customFormat="1" x14ac:dyDescent="0.25"/>
    <row r="3337" s="7" customFormat="1" x14ac:dyDescent="0.25"/>
    <row r="3338" s="7" customFormat="1" x14ac:dyDescent="0.25"/>
    <row r="3339" s="7" customFormat="1" x14ac:dyDescent="0.25"/>
    <row r="3340" s="7" customFormat="1" x14ac:dyDescent="0.25"/>
    <row r="3341" s="7" customFormat="1" x14ac:dyDescent="0.25"/>
    <row r="3342" s="7" customFormat="1" x14ac:dyDescent="0.25"/>
    <row r="3343" s="7" customFormat="1" x14ac:dyDescent="0.25"/>
    <row r="3344" s="7" customFormat="1" x14ac:dyDescent="0.25"/>
    <row r="3345" s="7" customFormat="1" x14ac:dyDescent="0.25"/>
    <row r="3346" s="7" customFormat="1" x14ac:dyDescent="0.25"/>
    <row r="3347" s="7" customFormat="1" x14ac:dyDescent="0.25"/>
    <row r="3348" s="7" customFormat="1" x14ac:dyDescent="0.25"/>
    <row r="3349" s="7" customFormat="1" x14ac:dyDescent="0.25"/>
    <row r="3350" s="7" customFormat="1" x14ac:dyDescent="0.25"/>
    <row r="3351" s="7" customFormat="1" x14ac:dyDescent="0.25"/>
    <row r="3352" s="7" customFormat="1" x14ac:dyDescent="0.25"/>
    <row r="3353" s="7" customFormat="1" x14ac:dyDescent="0.25"/>
    <row r="3354" s="7" customFormat="1" x14ac:dyDescent="0.25"/>
    <row r="3355" s="7" customFormat="1" x14ac:dyDescent="0.25"/>
    <row r="3356" s="7" customFormat="1" x14ac:dyDescent="0.25"/>
    <row r="3357" s="7" customFormat="1" x14ac:dyDescent="0.25"/>
    <row r="3358" s="7" customFormat="1" x14ac:dyDescent="0.25"/>
    <row r="3359" s="7" customFormat="1" x14ac:dyDescent="0.25"/>
    <row r="3360" s="7" customFormat="1" x14ac:dyDescent="0.25"/>
    <row r="3361" s="7" customFormat="1" x14ac:dyDescent="0.25"/>
    <row r="3362" s="7" customFormat="1" x14ac:dyDescent="0.25"/>
    <row r="3363" s="7" customFormat="1" x14ac:dyDescent="0.25"/>
    <row r="3364" s="7" customFormat="1" x14ac:dyDescent="0.25"/>
    <row r="3365" s="7" customFormat="1" x14ac:dyDescent="0.25"/>
    <row r="3366" s="7" customFormat="1" x14ac:dyDescent="0.25"/>
    <row r="3367" s="7" customFormat="1" x14ac:dyDescent="0.25"/>
    <row r="3368" s="7" customFormat="1" x14ac:dyDescent="0.25"/>
    <row r="3369" s="7" customFormat="1" x14ac:dyDescent="0.25"/>
    <row r="3370" s="7" customFormat="1" x14ac:dyDescent="0.25"/>
    <row r="3371" s="7" customFormat="1" x14ac:dyDescent="0.25"/>
    <row r="3372" s="7" customFormat="1" x14ac:dyDescent="0.25"/>
    <row r="3373" s="7" customFormat="1" x14ac:dyDescent="0.25"/>
    <row r="3374" s="7" customFormat="1" x14ac:dyDescent="0.25"/>
    <row r="3375" s="7" customFormat="1" x14ac:dyDescent="0.25"/>
    <row r="3376" s="7" customFormat="1" x14ac:dyDescent="0.25"/>
    <row r="3377" s="7" customFormat="1" x14ac:dyDescent="0.25"/>
    <row r="3378" s="7" customFormat="1" x14ac:dyDescent="0.25"/>
    <row r="3379" s="7" customFormat="1" x14ac:dyDescent="0.25"/>
    <row r="3380" s="7" customFormat="1" x14ac:dyDescent="0.25"/>
    <row r="3381" s="7" customFormat="1" x14ac:dyDescent="0.25"/>
    <row r="3382" s="7" customFormat="1" x14ac:dyDescent="0.25"/>
    <row r="3383" s="7" customFormat="1" x14ac:dyDescent="0.25"/>
    <row r="3384" s="7" customFormat="1" x14ac:dyDescent="0.25"/>
    <row r="3385" s="7" customFormat="1" x14ac:dyDescent="0.25"/>
    <row r="3386" s="7" customFormat="1" x14ac:dyDescent="0.25"/>
    <row r="3387" s="7" customFormat="1" x14ac:dyDescent="0.25"/>
    <row r="3388" s="7" customFormat="1" x14ac:dyDescent="0.25"/>
    <row r="3389" s="7" customFormat="1" x14ac:dyDescent="0.25"/>
    <row r="3390" s="7" customFormat="1" x14ac:dyDescent="0.25"/>
    <row r="3391" s="7" customFormat="1" x14ac:dyDescent="0.25"/>
    <row r="3392" s="7" customFormat="1" x14ac:dyDescent="0.25"/>
    <row r="3393" s="7" customFormat="1" x14ac:dyDescent="0.25"/>
    <row r="3394" s="7" customFormat="1" x14ac:dyDescent="0.25"/>
    <row r="3395" s="7" customFormat="1" x14ac:dyDescent="0.25"/>
    <row r="3396" s="7" customFormat="1" x14ac:dyDescent="0.25"/>
    <row r="3397" s="7" customFormat="1" x14ac:dyDescent="0.25"/>
    <row r="3398" s="7" customFormat="1" x14ac:dyDescent="0.25"/>
    <row r="3399" s="7" customFormat="1" x14ac:dyDescent="0.25"/>
    <row r="3400" s="7" customFormat="1" x14ac:dyDescent="0.25"/>
    <row r="3401" s="7" customFormat="1" x14ac:dyDescent="0.25"/>
    <row r="3402" s="7" customFormat="1" x14ac:dyDescent="0.25"/>
    <row r="3403" s="7" customFormat="1" x14ac:dyDescent="0.25"/>
    <row r="3404" s="7" customFormat="1" x14ac:dyDescent="0.25"/>
    <row r="3405" s="7" customFormat="1" x14ac:dyDescent="0.25"/>
    <row r="3406" s="7" customFormat="1" x14ac:dyDescent="0.25"/>
    <row r="3407" s="7" customFormat="1" x14ac:dyDescent="0.25"/>
    <row r="3408" s="7" customFormat="1" x14ac:dyDescent="0.25"/>
    <row r="3409" s="7" customFormat="1" x14ac:dyDescent="0.25"/>
    <row r="3410" s="7" customFormat="1" x14ac:dyDescent="0.25"/>
    <row r="3411" s="7" customFormat="1" x14ac:dyDescent="0.25"/>
    <row r="3412" s="7" customFormat="1" x14ac:dyDescent="0.25"/>
    <row r="3413" s="7" customFormat="1" x14ac:dyDescent="0.25"/>
    <row r="3414" s="7" customFormat="1" x14ac:dyDescent="0.25"/>
    <row r="3415" s="7" customFormat="1" x14ac:dyDescent="0.25"/>
    <row r="3416" s="7" customFormat="1" x14ac:dyDescent="0.25"/>
    <row r="3417" s="7" customFormat="1" x14ac:dyDescent="0.25"/>
    <row r="3418" s="7" customFormat="1" x14ac:dyDescent="0.25"/>
    <row r="3419" s="7" customFormat="1" x14ac:dyDescent="0.25"/>
    <row r="3420" s="7" customFormat="1" x14ac:dyDescent="0.25"/>
    <row r="3421" s="7" customFormat="1" x14ac:dyDescent="0.25"/>
    <row r="3422" s="7" customFormat="1" x14ac:dyDescent="0.25"/>
    <row r="3423" s="7" customFormat="1" x14ac:dyDescent="0.25"/>
    <row r="3424" s="7" customFormat="1" x14ac:dyDescent="0.25"/>
    <row r="3425" s="7" customFormat="1" x14ac:dyDescent="0.25"/>
    <row r="3426" s="7" customFormat="1" x14ac:dyDescent="0.25"/>
    <row r="3427" s="7" customFormat="1" x14ac:dyDescent="0.25"/>
    <row r="3428" s="7" customFormat="1" x14ac:dyDescent="0.25"/>
    <row r="3429" s="7" customFormat="1" x14ac:dyDescent="0.25"/>
    <row r="3430" s="7" customFormat="1" x14ac:dyDescent="0.25"/>
    <row r="3431" s="7" customFormat="1" x14ac:dyDescent="0.25"/>
    <row r="3432" s="7" customFormat="1" x14ac:dyDescent="0.25"/>
    <row r="3433" s="7" customFormat="1" x14ac:dyDescent="0.25"/>
    <row r="3434" s="7" customFormat="1" x14ac:dyDescent="0.25"/>
    <row r="3435" s="7" customFormat="1" x14ac:dyDescent="0.25"/>
    <row r="3436" s="7" customFormat="1" x14ac:dyDescent="0.25"/>
    <row r="3437" s="7" customFormat="1" x14ac:dyDescent="0.25"/>
    <row r="3438" s="7" customFormat="1" x14ac:dyDescent="0.25"/>
    <row r="3439" s="7" customFormat="1" x14ac:dyDescent="0.25"/>
    <row r="3440" s="7" customFormat="1" x14ac:dyDescent="0.25"/>
    <row r="3441" s="7" customFormat="1" x14ac:dyDescent="0.25"/>
    <row r="3442" s="7" customFormat="1" x14ac:dyDescent="0.25"/>
    <row r="3443" s="7" customFormat="1" x14ac:dyDescent="0.25"/>
    <row r="3444" s="7" customFormat="1" x14ac:dyDescent="0.25"/>
    <row r="3445" s="7" customFormat="1" x14ac:dyDescent="0.25"/>
    <row r="3446" s="7" customFormat="1" x14ac:dyDescent="0.25"/>
    <row r="3447" s="7" customFormat="1" x14ac:dyDescent="0.25"/>
    <row r="3448" s="7" customFormat="1" x14ac:dyDescent="0.25"/>
    <row r="3449" s="7" customFormat="1" x14ac:dyDescent="0.25"/>
    <row r="3450" s="7" customFormat="1" x14ac:dyDescent="0.25"/>
    <row r="3451" s="7" customFormat="1" x14ac:dyDescent="0.25"/>
    <row r="3452" s="7" customFormat="1" x14ac:dyDescent="0.25"/>
    <row r="3453" s="7" customFormat="1" x14ac:dyDescent="0.25"/>
    <row r="3454" s="7" customFormat="1" x14ac:dyDescent="0.25"/>
    <row r="3455" s="7" customFormat="1" x14ac:dyDescent="0.25"/>
    <row r="3456" s="7" customFormat="1" x14ac:dyDescent="0.25"/>
    <row r="3457" s="7" customFormat="1" x14ac:dyDescent="0.25"/>
    <row r="3458" s="7" customFormat="1" x14ac:dyDescent="0.25"/>
    <row r="3459" s="7" customFormat="1" x14ac:dyDescent="0.25"/>
    <row r="3460" s="7" customFormat="1" x14ac:dyDescent="0.25"/>
    <row r="3461" s="7" customFormat="1" x14ac:dyDescent="0.25"/>
    <row r="3462" s="7" customFormat="1" x14ac:dyDescent="0.25"/>
    <row r="3463" s="7" customFormat="1" x14ac:dyDescent="0.25"/>
    <row r="3464" s="7" customFormat="1" x14ac:dyDescent="0.25"/>
    <row r="3465" s="7" customFormat="1" x14ac:dyDescent="0.25"/>
    <row r="3466" s="7" customFormat="1" x14ac:dyDescent="0.25"/>
    <row r="3467" s="7" customFormat="1" x14ac:dyDescent="0.25"/>
    <row r="3468" s="7" customFormat="1" x14ac:dyDescent="0.25"/>
    <row r="3469" s="7" customFormat="1" x14ac:dyDescent="0.25"/>
    <row r="3470" s="7" customFormat="1" x14ac:dyDescent="0.25"/>
    <row r="3471" s="7" customFormat="1" x14ac:dyDescent="0.25"/>
    <row r="3472" s="7" customFormat="1" x14ac:dyDescent="0.25"/>
    <row r="3473" s="7" customFormat="1" x14ac:dyDescent="0.25"/>
    <row r="3474" s="7" customFormat="1" x14ac:dyDescent="0.25"/>
    <row r="3475" s="7" customFormat="1" x14ac:dyDescent="0.25"/>
    <row r="3476" s="7" customFormat="1" x14ac:dyDescent="0.25"/>
    <row r="3477" s="7" customFormat="1" x14ac:dyDescent="0.25"/>
    <row r="3478" s="7" customFormat="1" x14ac:dyDescent="0.25"/>
    <row r="3479" s="7" customFormat="1" x14ac:dyDescent="0.25"/>
    <row r="3480" s="7" customFormat="1" x14ac:dyDescent="0.25"/>
    <row r="3481" s="7" customFormat="1" x14ac:dyDescent="0.25"/>
    <row r="3482" s="7" customFormat="1" x14ac:dyDescent="0.25"/>
    <row r="3483" s="7" customFormat="1" x14ac:dyDescent="0.25"/>
    <row r="3484" s="7" customFormat="1" x14ac:dyDescent="0.25"/>
    <row r="3485" s="7" customFormat="1" x14ac:dyDescent="0.25"/>
    <row r="3486" s="7" customFormat="1" x14ac:dyDescent="0.25"/>
    <row r="3487" s="7" customFormat="1" x14ac:dyDescent="0.25"/>
    <row r="3488" s="7" customFormat="1" x14ac:dyDescent="0.25"/>
    <row r="3489" s="7" customFormat="1" x14ac:dyDescent="0.25"/>
    <row r="3490" s="7" customFormat="1" x14ac:dyDescent="0.25"/>
    <row r="3491" s="7" customFormat="1" x14ac:dyDescent="0.25"/>
    <row r="3492" s="7" customFormat="1" x14ac:dyDescent="0.25"/>
    <row r="3493" s="7" customFormat="1" x14ac:dyDescent="0.25"/>
    <row r="3494" s="7" customFormat="1" x14ac:dyDescent="0.25"/>
    <row r="3495" s="7" customFormat="1" x14ac:dyDescent="0.25"/>
    <row r="3496" s="7" customFormat="1" x14ac:dyDescent="0.25"/>
    <row r="3497" s="7" customFormat="1" x14ac:dyDescent="0.25"/>
    <row r="3498" s="7" customFormat="1" x14ac:dyDescent="0.25"/>
    <row r="3499" s="7" customFormat="1" x14ac:dyDescent="0.25"/>
    <row r="3500" s="7" customFormat="1" x14ac:dyDescent="0.25"/>
    <row r="3501" s="7" customFormat="1" x14ac:dyDescent="0.25"/>
    <row r="3502" s="7" customFormat="1" x14ac:dyDescent="0.25"/>
    <row r="3503" s="7" customFormat="1" x14ac:dyDescent="0.25"/>
    <row r="3504" s="7" customFormat="1" x14ac:dyDescent="0.25"/>
    <row r="3505" s="7" customFormat="1" x14ac:dyDescent="0.25"/>
    <row r="3506" s="7" customFormat="1" x14ac:dyDescent="0.25"/>
    <row r="3507" s="7" customFormat="1" x14ac:dyDescent="0.25"/>
    <row r="3508" s="7" customFormat="1" x14ac:dyDescent="0.25"/>
    <row r="3509" s="7" customFormat="1" x14ac:dyDescent="0.25"/>
    <row r="3510" s="7" customFormat="1" x14ac:dyDescent="0.25"/>
    <row r="3511" s="7" customFormat="1" x14ac:dyDescent="0.25"/>
    <row r="3512" s="7" customFormat="1" x14ac:dyDescent="0.25"/>
    <row r="3513" s="7" customFormat="1" x14ac:dyDescent="0.25"/>
    <row r="3514" s="7" customFormat="1" x14ac:dyDescent="0.25"/>
    <row r="3515" s="7" customFormat="1" x14ac:dyDescent="0.25"/>
    <row r="3516" s="7" customFormat="1" x14ac:dyDescent="0.25"/>
    <row r="3517" s="7" customFormat="1" x14ac:dyDescent="0.25"/>
    <row r="3518" s="7" customFormat="1" x14ac:dyDescent="0.25"/>
    <row r="3519" s="7" customFormat="1" x14ac:dyDescent="0.25"/>
    <row r="3520" s="7" customFormat="1" x14ac:dyDescent="0.25"/>
    <row r="3521" s="7" customFormat="1" x14ac:dyDescent="0.25"/>
    <row r="3522" s="7" customFormat="1" x14ac:dyDescent="0.25"/>
    <row r="3523" s="7" customFormat="1" x14ac:dyDescent="0.25"/>
    <row r="3524" s="7" customFormat="1" x14ac:dyDescent="0.25"/>
    <row r="3525" s="7" customFormat="1" x14ac:dyDescent="0.25"/>
    <row r="3526" s="7" customFormat="1" x14ac:dyDescent="0.25"/>
    <row r="3527" s="7" customFormat="1" x14ac:dyDescent="0.25"/>
    <row r="3528" s="7" customFormat="1" x14ac:dyDescent="0.25"/>
    <row r="3529" s="7" customFormat="1" x14ac:dyDescent="0.25"/>
    <row r="3530" s="7" customFormat="1" x14ac:dyDescent="0.25"/>
    <row r="3531" s="7" customFormat="1" x14ac:dyDescent="0.25"/>
    <row r="3532" s="7" customFormat="1" x14ac:dyDescent="0.25"/>
    <row r="3533" s="7" customFormat="1" x14ac:dyDescent="0.25"/>
    <row r="3534" s="7" customFormat="1" x14ac:dyDescent="0.25"/>
    <row r="3535" s="7" customFormat="1" x14ac:dyDescent="0.25"/>
    <row r="3536" s="7" customFormat="1" x14ac:dyDescent="0.25"/>
    <row r="3537" s="7" customFormat="1" x14ac:dyDescent="0.25"/>
    <row r="3538" s="7" customFormat="1" x14ac:dyDescent="0.25"/>
    <row r="3539" s="7" customFormat="1" x14ac:dyDescent="0.25"/>
    <row r="3540" s="7" customFormat="1" x14ac:dyDescent="0.25"/>
    <row r="3541" s="7" customFormat="1" x14ac:dyDescent="0.25"/>
    <row r="3542" s="7" customFormat="1" x14ac:dyDescent="0.25"/>
    <row r="3543" s="7" customFormat="1" x14ac:dyDescent="0.25"/>
    <row r="3544" s="7" customFormat="1" x14ac:dyDescent="0.25"/>
    <row r="3545" s="7" customFormat="1" x14ac:dyDescent="0.25"/>
    <row r="3546" s="7" customFormat="1" x14ac:dyDescent="0.25"/>
    <row r="3547" s="7" customFormat="1" x14ac:dyDescent="0.25"/>
    <row r="3548" s="7" customFormat="1" x14ac:dyDescent="0.25"/>
    <row r="3549" s="7" customFormat="1" x14ac:dyDescent="0.25"/>
    <row r="3550" s="7" customFormat="1" x14ac:dyDescent="0.25"/>
    <row r="3551" s="7" customFormat="1" x14ac:dyDescent="0.25"/>
    <row r="3552" s="7" customFormat="1" x14ac:dyDescent="0.25"/>
    <row r="3553" s="7" customFormat="1" x14ac:dyDescent="0.25"/>
    <row r="3554" s="7" customFormat="1" x14ac:dyDescent="0.25"/>
    <row r="3555" s="7" customFormat="1" x14ac:dyDescent="0.25"/>
    <row r="3556" s="7" customFormat="1" x14ac:dyDescent="0.25"/>
    <row r="3557" s="7" customFormat="1" x14ac:dyDescent="0.25"/>
    <row r="3558" s="7" customFormat="1" x14ac:dyDescent="0.25"/>
    <row r="3559" s="7" customFormat="1" x14ac:dyDescent="0.25"/>
    <row r="3560" s="7" customFormat="1" x14ac:dyDescent="0.25"/>
    <row r="3561" s="7" customFormat="1" x14ac:dyDescent="0.25"/>
    <row r="3562" s="7" customFormat="1" x14ac:dyDescent="0.25"/>
    <row r="3563" s="7" customFormat="1" x14ac:dyDescent="0.25"/>
    <row r="3564" s="7" customFormat="1" x14ac:dyDescent="0.25"/>
    <row r="3565" s="7" customFormat="1" x14ac:dyDescent="0.25"/>
    <row r="3566" s="7" customFormat="1" x14ac:dyDescent="0.25"/>
    <row r="3567" s="7" customFormat="1" x14ac:dyDescent="0.25"/>
    <row r="3568" s="7" customFormat="1" x14ac:dyDescent="0.25"/>
    <row r="3569" s="7" customFormat="1" x14ac:dyDescent="0.25"/>
    <row r="3570" s="7" customFormat="1" x14ac:dyDescent="0.25"/>
    <row r="3571" s="7" customFormat="1" x14ac:dyDescent="0.25"/>
    <row r="3572" s="7" customFormat="1" x14ac:dyDescent="0.25"/>
    <row r="3573" s="7" customFormat="1" x14ac:dyDescent="0.25"/>
    <row r="3574" s="7" customFormat="1" x14ac:dyDescent="0.25"/>
    <row r="3575" s="7" customFormat="1" x14ac:dyDescent="0.25"/>
    <row r="3576" s="7" customFormat="1" x14ac:dyDescent="0.25"/>
    <row r="3577" s="7" customFormat="1" x14ac:dyDescent="0.25"/>
    <row r="3578" s="7" customFormat="1" x14ac:dyDescent="0.25"/>
    <row r="3579" s="7" customFormat="1" x14ac:dyDescent="0.25"/>
    <row r="3580" s="7" customFormat="1" x14ac:dyDescent="0.25"/>
    <row r="3581" s="7" customFormat="1" x14ac:dyDescent="0.25"/>
    <row r="3582" s="7" customFormat="1" x14ac:dyDescent="0.25"/>
    <row r="3583" s="7" customFormat="1" x14ac:dyDescent="0.25"/>
    <row r="3584" s="7" customFormat="1" x14ac:dyDescent="0.25"/>
    <row r="3585" s="7" customFormat="1" x14ac:dyDescent="0.25"/>
    <row r="3586" s="7" customFormat="1" x14ac:dyDescent="0.25"/>
    <row r="3587" s="7" customFormat="1" x14ac:dyDescent="0.25"/>
    <row r="3588" s="7" customFormat="1" x14ac:dyDescent="0.25"/>
    <row r="3589" s="7" customFormat="1" x14ac:dyDescent="0.25"/>
    <row r="3590" s="7" customFormat="1" x14ac:dyDescent="0.25"/>
    <row r="3591" s="7" customFormat="1" x14ac:dyDescent="0.25"/>
    <row r="3592" s="7" customFormat="1" x14ac:dyDescent="0.25"/>
    <row r="3593" s="7" customFormat="1" x14ac:dyDescent="0.25"/>
    <row r="3594" s="7" customFormat="1" x14ac:dyDescent="0.25"/>
    <row r="3595" s="7" customFormat="1" x14ac:dyDescent="0.25"/>
    <row r="3596" s="7" customFormat="1" x14ac:dyDescent="0.25"/>
    <row r="3597" s="7" customFormat="1" x14ac:dyDescent="0.25"/>
    <row r="3598" s="7" customFormat="1" x14ac:dyDescent="0.25"/>
    <row r="3599" s="7" customFormat="1" x14ac:dyDescent="0.25"/>
    <row r="3600" s="7" customFormat="1" x14ac:dyDescent="0.25"/>
    <row r="3601" s="7" customFormat="1" x14ac:dyDescent="0.25"/>
    <row r="3602" s="7" customFormat="1" x14ac:dyDescent="0.25"/>
    <row r="3603" s="7" customFormat="1" x14ac:dyDescent="0.25"/>
    <row r="3604" s="7" customFormat="1" x14ac:dyDescent="0.25"/>
    <row r="3605" s="7" customFormat="1" x14ac:dyDescent="0.25"/>
    <row r="3606" s="7" customFormat="1" x14ac:dyDescent="0.25"/>
    <row r="3607" s="7" customFormat="1" x14ac:dyDescent="0.25"/>
    <row r="3608" s="7" customFormat="1" x14ac:dyDescent="0.25"/>
    <row r="3609" s="7" customFormat="1" x14ac:dyDescent="0.25"/>
    <row r="3610" s="7" customFormat="1" x14ac:dyDescent="0.25"/>
    <row r="3611" s="7" customFormat="1" x14ac:dyDescent="0.25"/>
    <row r="3612" s="7" customFormat="1" x14ac:dyDescent="0.25"/>
    <row r="3613" s="7" customFormat="1" x14ac:dyDescent="0.25"/>
    <row r="3614" s="7" customFormat="1" x14ac:dyDescent="0.25"/>
    <row r="3615" s="7" customFormat="1" x14ac:dyDescent="0.25"/>
    <row r="3616" s="7" customFormat="1" x14ac:dyDescent="0.25"/>
    <row r="3617" s="7" customFormat="1" x14ac:dyDescent="0.25"/>
    <row r="3618" s="7" customFormat="1" x14ac:dyDescent="0.25"/>
    <row r="3619" s="7" customFormat="1" x14ac:dyDescent="0.25"/>
    <row r="3620" s="7" customFormat="1" x14ac:dyDescent="0.25"/>
    <row r="3621" s="7" customFormat="1" x14ac:dyDescent="0.25"/>
    <row r="3622" s="7" customFormat="1" x14ac:dyDescent="0.25"/>
    <row r="3623" s="7" customFormat="1" x14ac:dyDescent="0.25"/>
    <row r="3624" s="7" customFormat="1" x14ac:dyDescent="0.25"/>
    <row r="3625" s="7" customFormat="1" x14ac:dyDescent="0.25"/>
    <row r="3626" s="7" customFormat="1" x14ac:dyDescent="0.25"/>
    <row r="3627" s="7" customFormat="1" x14ac:dyDescent="0.25"/>
    <row r="3628" s="7" customFormat="1" x14ac:dyDescent="0.25"/>
    <row r="3629" s="7" customFormat="1" x14ac:dyDescent="0.25"/>
    <row r="3630" s="7" customFormat="1" x14ac:dyDescent="0.25"/>
    <row r="3631" s="7" customFormat="1" x14ac:dyDescent="0.25"/>
    <row r="3632" s="7" customFormat="1" x14ac:dyDescent="0.25"/>
    <row r="3633" s="7" customFormat="1" x14ac:dyDescent="0.25"/>
    <row r="3634" s="7" customFormat="1" x14ac:dyDescent="0.25"/>
    <row r="3635" s="7" customFormat="1" x14ac:dyDescent="0.25"/>
    <row r="3636" s="7" customFormat="1" x14ac:dyDescent="0.25"/>
    <row r="3637" s="7" customFormat="1" x14ac:dyDescent="0.25"/>
    <row r="3638" s="7" customFormat="1" x14ac:dyDescent="0.25"/>
    <row r="1048480" s="7" customFormat="1" x14ac:dyDescent="0.25"/>
    <row r="1048481" s="7" customFormat="1" x14ac:dyDescent="0.25"/>
    <row r="1048482" s="7" customFormat="1" x14ac:dyDescent="0.25"/>
    <row r="1048483" s="7" customFormat="1" x14ac:dyDescent="0.25"/>
    <row r="1048484" s="7" customFormat="1" x14ac:dyDescent="0.25"/>
    <row r="1048485" s="7" customFormat="1" x14ac:dyDescent="0.25"/>
    <row r="1048486" s="7" customFormat="1" x14ac:dyDescent="0.25"/>
    <row r="1048487" s="7" customFormat="1" x14ac:dyDescent="0.25"/>
    <row r="1048488" s="7" customFormat="1" x14ac:dyDescent="0.25"/>
    <row r="1048489" s="7" customFormat="1" x14ac:dyDescent="0.25"/>
    <row r="1048490" s="7" customFormat="1" x14ac:dyDescent="0.25"/>
    <row r="1048491" s="7" customFormat="1" x14ac:dyDescent="0.25"/>
    <row r="1048492" s="7" customFormat="1" x14ac:dyDescent="0.25"/>
    <row r="1048493" s="7" customFormat="1" x14ac:dyDescent="0.25"/>
    <row r="1048494" s="7" customFormat="1" x14ac:dyDescent="0.25"/>
    <row r="1048495" s="7" customFormat="1" x14ac:dyDescent="0.25"/>
    <row r="1048496" s="7" customFormat="1" x14ac:dyDescent="0.25"/>
    <row r="1048497" s="7" customFormat="1" x14ac:dyDescent="0.25"/>
    <row r="1048498" s="7" customFormat="1" x14ac:dyDescent="0.25"/>
    <row r="1048499" s="7" customFormat="1" x14ac:dyDescent="0.25"/>
    <row r="1048500" s="7" customFormat="1" x14ac:dyDescent="0.25"/>
    <row r="1048501" s="7" customFormat="1" x14ac:dyDescent="0.25"/>
    <row r="1048502" s="7" customFormat="1" x14ac:dyDescent="0.25"/>
    <row r="1048503" s="7" customFormat="1" x14ac:dyDescent="0.25"/>
    <row r="1048504" s="7" customFormat="1" x14ac:dyDescent="0.25"/>
    <row r="1048505" s="7" customFormat="1" x14ac:dyDescent="0.25"/>
    <row r="1048506" s="7" customFormat="1" x14ac:dyDescent="0.25"/>
    <row r="1048507" s="7" customFormat="1" x14ac:dyDescent="0.25"/>
    <row r="1048508" s="7" customFormat="1" x14ac:dyDescent="0.25"/>
    <row r="1048509" s="7" customFormat="1" x14ac:dyDescent="0.25"/>
    <row r="1048510" s="7" customFormat="1" x14ac:dyDescent="0.25"/>
    <row r="1048511" s="7" customFormat="1" x14ac:dyDescent="0.25"/>
    <row r="1048512" s="7" customFormat="1" x14ac:dyDescent="0.25"/>
    <row r="1048513" s="7" customFormat="1" x14ac:dyDescent="0.25"/>
    <row r="1048514" s="7" customFormat="1" x14ac:dyDescent="0.25"/>
    <row r="1048515" s="7" customFormat="1" x14ac:dyDescent="0.25"/>
    <row r="1048516" s="7" customFormat="1" x14ac:dyDescent="0.25"/>
    <row r="1048517" s="7" customFormat="1" x14ac:dyDescent="0.25"/>
    <row r="1048518" s="7" customFormat="1" x14ac:dyDescent="0.25"/>
    <row r="1048519" s="7" customFormat="1" x14ac:dyDescent="0.25"/>
    <row r="1048520" s="7" customFormat="1" x14ac:dyDescent="0.25"/>
    <row r="1048521" s="7" customFormat="1" x14ac:dyDescent="0.25"/>
    <row r="1048522" s="7" customFormat="1" x14ac:dyDescent="0.25"/>
    <row r="1048523" s="7" customFormat="1" x14ac:dyDescent="0.25"/>
    <row r="1048524" s="7" customFormat="1" x14ac:dyDescent="0.25"/>
    <row r="1048525" s="7" customFormat="1" x14ac:dyDescent="0.25"/>
    <row r="1048526" s="7" customFormat="1" x14ac:dyDescent="0.25"/>
    <row r="1048527" s="7" customFormat="1" x14ac:dyDescent="0.25"/>
    <row r="1048528" s="7" customFormat="1" x14ac:dyDescent="0.25"/>
    <row r="1048529" s="7" customFormat="1" x14ac:dyDescent="0.25"/>
    <row r="1048530" s="7" customFormat="1" x14ac:dyDescent="0.25"/>
    <row r="1048531" s="7" customFormat="1" x14ac:dyDescent="0.25"/>
    <row r="1048532" s="7" customFormat="1" x14ac:dyDescent="0.25"/>
    <row r="1048533" s="7" customFormat="1" x14ac:dyDescent="0.25"/>
    <row r="1048534" s="7" customFormat="1" x14ac:dyDescent="0.25"/>
    <row r="1048535" s="7" customFormat="1" x14ac:dyDescent="0.25"/>
    <row r="1048536" s="7" customFormat="1" x14ac:dyDescent="0.25"/>
    <row r="1048537" s="7" customFormat="1" x14ac:dyDescent="0.25"/>
    <row r="1048538" s="7" customFormat="1" x14ac:dyDescent="0.25"/>
    <row r="1048539" s="7" customFormat="1" x14ac:dyDescent="0.25"/>
    <row r="1048540" s="7" customFormat="1" x14ac:dyDescent="0.25"/>
    <row r="1048541" s="7" customFormat="1" x14ac:dyDescent="0.25"/>
    <row r="1048542" s="7" customFormat="1" x14ac:dyDescent="0.25"/>
    <row r="1048543" s="7" customFormat="1" x14ac:dyDescent="0.25"/>
    <row r="1048544" s="7" customFormat="1" x14ac:dyDescent="0.25"/>
    <row r="1048545" s="7" customFormat="1" x14ac:dyDescent="0.25"/>
    <row r="1048546" s="7" customFormat="1" x14ac:dyDescent="0.25"/>
    <row r="1048547" s="7" customFormat="1" x14ac:dyDescent="0.25"/>
    <row r="1048548" s="7" customFormat="1" x14ac:dyDescent="0.25"/>
    <row r="1048549" s="7" customFormat="1" x14ac:dyDescent="0.25"/>
    <row r="1048550" s="7" customFormat="1" x14ac:dyDescent="0.25"/>
    <row r="1048551" s="7" customFormat="1" x14ac:dyDescent="0.25"/>
    <row r="1048552" s="7" customFormat="1" x14ac:dyDescent="0.25"/>
    <row r="1048553" s="7" customFormat="1" x14ac:dyDescent="0.25"/>
    <row r="1048554" s="7" customFormat="1" x14ac:dyDescent="0.25"/>
    <row r="1048555" s="7" customFormat="1" x14ac:dyDescent="0.25"/>
    <row r="1048556" s="7" customFormat="1" x14ac:dyDescent="0.25"/>
    <row r="1048557" s="7" customFormat="1" x14ac:dyDescent="0.25"/>
    <row r="1048558" s="7" customFormat="1" x14ac:dyDescent="0.25"/>
    <row r="1048559" s="7" customFormat="1" x14ac:dyDescent="0.25"/>
    <row r="1048560" s="7" customFormat="1" x14ac:dyDescent="0.25"/>
    <row r="1048561" s="7" customFormat="1" x14ac:dyDescent="0.25"/>
    <row r="1048562" s="7" customFormat="1" x14ac:dyDescent="0.25"/>
    <row r="1048563" s="7" customFormat="1" x14ac:dyDescent="0.25"/>
    <row r="1048564" s="7" customFormat="1" x14ac:dyDescent="0.25"/>
    <row r="1048565" s="7" customFormat="1" x14ac:dyDescent="0.25"/>
    <row r="1048566" s="7" customFormat="1" x14ac:dyDescent="0.25"/>
    <row r="1048567" s="7" customFormat="1" x14ac:dyDescent="0.25"/>
    <row r="1048568" s="7" customFormat="1" x14ac:dyDescent="0.25"/>
    <row r="1048569" s="7" customFormat="1" x14ac:dyDescent="0.25"/>
    <row r="1048570" s="7" customFormat="1" x14ac:dyDescent="0.25"/>
    <row r="1048571" s="7" customFormat="1" x14ac:dyDescent="0.25"/>
    <row r="1048572" s="7" customFormat="1" x14ac:dyDescent="0.25"/>
    <row r="1048573" s="7" customFormat="1" x14ac:dyDescent="0.25"/>
    <row r="1048574" s="7" customFormat="1" x14ac:dyDescent="0.25"/>
    <row r="1048575" s="7" customFormat="1" x14ac:dyDescent="0.25"/>
    <row r="1048576" s="7" customFormat="1" x14ac:dyDescent="0.25"/>
  </sheetData>
  <sheetProtection selectLockedCells="1"/>
  <mergeCells count="51">
    <mergeCell ref="A70:E70"/>
    <mergeCell ref="A71:E71"/>
    <mergeCell ref="B68:C68"/>
    <mergeCell ref="B64:C64"/>
    <mergeCell ref="B47:D47"/>
    <mergeCell ref="B48:D48"/>
    <mergeCell ref="B49:D49"/>
    <mergeCell ref="B50:D50"/>
    <mergeCell ref="B51:D51"/>
    <mergeCell ref="B58:D58"/>
    <mergeCell ref="B44:D44"/>
    <mergeCell ref="B42:D42"/>
    <mergeCell ref="B41:D41"/>
    <mergeCell ref="B52:D52"/>
    <mergeCell ref="B54:D54"/>
    <mergeCell ref="B53:D53"/>
    <mergeCell ref="B7:D7"/>
    <mergeCell ref="B20:D20"/>
    <mergeCell ref="B21:D21"/>
    <mergeCell ref="B25:D25"/>
    <mergeCell ref="B24:D24"/>
    <mergeCell ref="B13:D13"/>
    <mergeCell ref="B14:D14"/>
    <mergeCell ref="B15:D15"/>
    <mergeCell ref="B19:D19"/>
    <mergeCell ref="B17:D17"/>
    <mergeCell ref="B18:D18"/>
    <mergeCell ref="B22:D22"/>
    <mergeCell ref="B23:D23"/>
    <mergeCell ref="B16:D16"/>
    <mergeCell ref="A79:C79"/>
    <mergeCell ref="A80:C80"/>
    <mergeCell ref="A81:C81"/>
    <mergeCell ref="A77:C77"/>
    <mergeCell ref="B26:D26"/>
    <mergeCell ref="B27:D27"/>
    <mergeCell ref="B28:D28"/>
    <mergeCell ref="B59:D59"/>
    <mergeCell ref="B30:D30"/>
    <mergeCell ref="B31:D31"/>
    <mergeCell ref="B32:D32"/>
    <mergeCell ref="B33:D33"/>
    <mergeCell ref="B39:D39"/>
    <mergeCell ref="B40:D40"/>
    <mergeCell ref="B57:D57"/>
    <mergeCell ref="B56:D56"/>
    <mergeCell ref="B73:C73"/>
    <mergeCell ref="A74:C74"/>
    <mergeCell ref="A75:C75"/>
    <mergeCell ref="A76:C76"/>
    <mergeCell ref="A78:C78"/>
  </mergeCells>
  <dataValidations count="4">
    <dataValidation type="list" allowBlank="1" showInputMessage="1" showErrorMessage="1" sqref="B43:C43 C67 B41 A75:C75 A79:C79 A81:C81" xr:uid="{00000000-0002-0000-0300-000000000000}">
      <formula1>"Please select from the drop down menu,yes,no"</formula1>
    </dataValidation>
    <dataValidation type="list" allowBlank="1" showInputMessage="1" showErrorMessage="1" sqref="B30" xr:uid="{00000000-0002-0000-0300-000001000000}">
      <formula1>"Please select from the drop down menu,Business meeting,Knowledge transfer,Training,Work"</formula1>
    </dataValidation>
    <dataValidation type="list" allowBlank="1" showInputMessage="1" showErrorMessage="1" sqref="B22:B23" xr:uid="{00000000-0002-0000-0300-000002000000}">
      <formula1>"Please select from the drop down menu,Billable,Not Billable"</formula1>
    </dataValidation>
    <dataValidation type="list" allowBlank="1" showInputMessage="1" showErrorMessage="1" sqref="B21" xr:uid="{00000000-0002-0000-0300-000003000000}">
      <formula1>"Please select from the drop down menu,Atos premises,Client premises"</formula1>
    </dataValidation>
  </dataValidations>
  <pageMargins left="0.7" right="0.7" top="0.75" bottom="0.75" header="0.3" footer="0.3"/>
  <pageSetup paperSize="9" scale="58"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4000000}">
          <x14:formula1>
            <xm:f>Sheet1!$G$3:$G$10</xm:f>
          </x14:formula1>
          <xm:sqref>B68:C68</xm:sqref>
        </x14:dataValidation>
        <x14:dataValidation type="list" allowBlank="1" showInputMessage="1" showErrorMessage="1" xr:uid="{00000000-0002-0000-0300-000005000000}">
          <x14:formula1>
            <xm:f>'Menus '!$C$24:$C$85</xm:f>
          </x14:formula1>
          <xm:sqref>B57</xm:sqref>
        </x14:dataValidation>
        <x14:dataValidation type="list" allowBlank="1" showInputMessage="1" showErrorMessage="1" xr:uid="{00000000-0002-0000-0300-000006000000}">
          <x14:formula1>
            <xm:f>Sheet1!$B$3:$B$12</xm:f>
          </x14:formula1>
          <xm:sqref>B48</xm:sqref>
        </x14:dataValidation>
        <x14:dataValidation type="list" allowBlank="1" showInputMessage="1" showErrorMessage="1" xr:uid="{00000000-0002-0000-0300-000007000000}">
          <x14:formula1>
            <xm:f>Sheet1!$E$3:$E$251</xm:f>
          </x14:formula1>
          <xm:sqref>B16 B7:D7</xm:sqref>
        </x14:dataValidation>
        <x14:dataValidation type="list" allowBlank="1" showErrorMessage="1" promptTitle="Please select from the drop down" prompt="Please select from the drop down" xr:uid="{00000000-0002-0000-0300-000009000000}">
          <x14:formula1>
            <xm:f>Sheet1!$A$3:$A$382</xm:f>
          </x14:formula1>
          <xm:sqref>B17</xm:sqref>
        </x14:dataValidation>
        <x14:dataValidation type="list" allowBlank="1" showInputMessage="1" showErrorMessage="1" xr:uid="{00000000-0002-0000-0300-00000B000000}">
          <x14:formula1>
            <xm:f>Sheet1!$F$3:$F$389</xm:f>
          </x14:formula1>
          <xm:sqref>B39:D39</xm:sqref>
        </x14:dataValidation>
        <x14:dataValidation type="list" allowBlank="1" showInputMessage="1" showErrorMessage="1" xr:uid="{00000000-0002-0000-0300-000008000000}">
          <x14:formula1>
            <xm:f>Sheet1!$D$3:$D$56</xm:f>
          </x14:formula1>
          <xm:sqref>B25:D25 B56:D56</xm:sqref>
        </x14:dataValidation>
        <x14:dataValidation type="list" allowBlank="1" showInputMessage="1" showErrorMessage="1" xr:uid="{00000000-0002-0000-0300-00000A000000}">
          <x14:formula1>
            <xm:f>Sheet1!$H$3:$H$24</xm:f>
          </x14:formula1>
          <xm:sqref>B49:D49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E67"/>
  <sheetViews>
    <sheetView zoomScaleNormal="100" workbookViewId="0"/>
  </sheetViews>
  <sheetFormatPr defaultColWidth="11.453125" defaultRowHeight="12.5" x14ac:dyDescent="0.25"/>
  <cols>
    <col min="1" max="1" width="50.7265625" style="7" customWidth="1"/>
    <col min="2" max="2" width="35.7265625" style="7" customWidth="1"/>
    <col min="3" max="3" width="37.26953125" style="7" customWidth="1"/>
    <col min="4" max="4" width="22.1796875" style="7" customWidth="1"/>
    <col min="5" max="16384" width="11.453125" style="7"/>
  </cols>
  <sheetData>
    <row r="1" spans="1:4" ht="42.75" customHeight="1" x14ac:dyDescent="0.25">
      <c r="A1" s="2"/>
      <c r="B1" s="117" t="s">
        <v>175</v>
      </c>
      <c r="C1" s="2"/>
      <c r="D1" s="2"/>
    </row>
    <row r="2" spans="1:4" ht="15.75" customHeight="1" x14ac:dyDescent="0.3">
      <c r="A2" s="341" t="s">
        <v>176</v>
      </c>
      <c r="B2" s="341"/>
      <c r="C2" s="341"/>
      <c r="D2" s="86"/>
    </row>
    <row r="3" spans="1:4" ht="15.75" customHeight="1" x14ac:dyDescent="0.25">
      <c r="A3" s="86"/>
      <c r="B3" s="4"/>
      <c r="C3" s="86"/>
      <c r="D3" s="86"/>
    </row>
    <row r="4" spans="1:4" ht="14.5" x14ac:dyDescent="0.35">
      <c r="A4" s="104" t="s">
        <v>63</v>
      </c>
      <c r="B4" s="105"/>
      <c r="C4" s="345"/>
      <c r="D4" s="346"/>
    </row>
    <row r="5" spans="1:4" ht="14.5" x14ac:dyDescent="0.35">
      <c r="A5" s="106" t="s">
        <v>124</v>
      </c>
      <c r="B5" s="107"/>
      <c r="C5" s="347"/>
      <c r="D5" s="348"/>
    </row>
    <row r="6" spans="1:4" ht="14.5" x14ac:dyDescent="0.35">
      <c r="A6" s="108" t="s">
        <v>64</v>
      </c>
      <c r="B6" s="107"/>
      <c r="C6" s="347"/>
      <c r="D6" s="348"/>
    </row>
    <row r="7" spans="1:4" ht="14.5" x14ac:dyDescent="0.35">
      <c r="A7" s="109" t="s">
        <v>177</v>
      </c>
      <c r="B7" s="110"/>
      <c r="C7" s="349"/>
      <c r="D7" s="350"/>
    </row>
    <row r="8" spans="1:4" ht="13" x14ac:dyDescent="0.3">
      <c r="A8" s="111" t="s">
        <v>66</v>
      </c>
      <c r="B8" s="357">
        <f>'2. Business - Project details'!B16:D16</f>
        <v>0</v>
      </c>
      <c r="C8" s="357"/>
      <c r="D8" s="357"/>
    </row>
    <row r="9" spans="1:4" ht="13.5" customHeight="1" x14ac:dyDescent="0.25">
      <c r="A9" s="111" t="s">
        <v>68</v>
      </c>
      <c r="B9" s="111" t="s">
        <v>67</v>
      </c>
      <c r="C9" s="111" t="s">
        <v>69</v>
      </c>
      <c r="D9" s="112" t="s">
        <v>70</v>
      </c>
    </row>
    <row r="10" spans="1:4" ht="12" customHeight="1" x14ac:dyDescent="0.25">
      <c r="A10" s="115">
        <f>+'1. Employee - Personal  Data'!C8</f>
        <v>0</v>
      </c>
      <c r="B10" s="115">
        <f>'1. Employee - Personal  Data'!B8</f>
        <v>0</v>
      </c>
      <c r="C10" s="115">
        <f>'1. Employee - Personal  Data'!E8</f>
        <v>0</v>
      </c>
      <c r="D10" s="116">
        <f>'1. Employee - Personal  Data'!$B$18</f>
        <v>0</v>
      </c>
    </row>
    <row r="11" spans="1:4" ht="13.5" customHeight="1" x14ac:dyDescent="0.3">
      <c r="A11" s="111" t="s">
        <v>71</v>
      </c>
      <c r="B11" s="223">
        <f>B15</f>
        <v>0</v>
      </c>
      <c r="C11" s="111" t="s">
        <v>72</v>
      </c>
      <c r="D11" s="224">
        <f>B16</f>
        <v>0</v>
      </c>
    </row>
    <row r="12" spans="1:4" ht="13.5" customHeight="1" x14ac:dyDescent="0.25">
      <c r="A12"/>
      <c r="B12" s="136"/>
      <c r="C12" s="171"/>
      <c r="D12" s="93"/>
    </row>
    <row r="13" spans="1:4" ht="10.15" customHeight="1" x14ac:dyDescent="0.35">
      <c r="A13" s="3"/>
      <c r="B13" s="86"/>
      <c r="C13" s="86"/>
      <c r="D13" s="86"/>
    </row>
    <row r="14" spans="1:4" ht="18.5" x14ac:dyDescent="0.45">
      <c r="A14" s="159" t="s">
        <v>178</v>
      </c>
      <c r="B14" s="86"/>
      <c r="C14" s="86"/>
      <c r="D14" s="86"/>
    </row>
    <row r="15" spans="1:4" s="89" customFormat="1" ht="27" customHeight="1" x14ac:dyDescent="0.25">
      <c r="A15" s="178" t="s">
        <v>57</v>
      </c>
      <c r="B15" s="369"/>
      <c r="C15" s="370"/>
      <c r="D15" s="371"/>
    </row>
    <row r="16" spans="1:4" s="89" customFormat="1" ht="27" customHeight="1" x14ac:dyDescent="0.25">
      <c r="A16" s="178" t="s">
        <v>59</v>
      </c>
      <c r="B16" s="369"/>
      <c r="C16" s="370"/>
      <c r="D16" s="371"/>
    </row>
    <row r="17" spans="1:5" s="150" customFormat="1" ht="27" customHeight="1" x14ac:dyDescent="0.25">
      <c r="A17" s="102" t="s">
        <v>126</v>
      </c>
      <c r="B17" s="352">
        <f>B16-B15+1</f>
        <v>1</v>
      </c>
      <c r="C17" s="353"/>
      <c r="D17" s="354"/>
    </row>
    <row r="18" spans="1:5" ht="10.15" customHeight="1" x14ac:dyDescent="0.3">
      <c r="A18" s="84"/>
      <c r="B18" s="86"/>
      <c r="C18" s="86"/>
      <c r="D18" s="86"/>
    </row>
    <row r="19" spans="1:5" ht="27" customHeight="1" x14ac:dyDescent="0.25">
      <c r="A19" s="343" t="s">
        <v>179</v>
      </c>
      <c r="B19" s="344"/>
      <c r="C19" s="351" t="s">
        <v>180</v>
      </c>
      <c r="D19" s="351"/>
    </row>
    <row r="20" spans="1:5" ht="27" customHeight="1" x14ac:dyDescent="0.25">
      <c r="A20" s="102" t="s">
        <v>127</v>
      </c>
      <c r="B20" s="96">
        <f>'2. Business - Project details'!B16:C16</f>
        <v>0</v>
      </c>
      <c r="C20" s="331" t="s">
        <v>76</v>
      </c>
      <c r="D20" s="333"/>
    </row>
    <row r="21" spans="1:5" ht="27" customHeight="1" x14ac:dyDescent="0.3">
      <c r="A21" s="102" t="s">
        <v>181</v>
      </c>
      <c r="B21" s="96">
        <f>+'2. Business - Project details'!B18:C18</f>
        <v>0</v>
      </c>
      <c r="C21" s="311"/>
      <c r="D21" s="311"/>
      <c r="E21" s="85"/>
    </row>
    <row r="22" spans="1:5" ht="27" customHeight="1" x14ac:dyDescent="0.25">
      <c r="A22" s="102" t="s">
        <v>133</v>
      </c>
      <c r="B22" s="96">
        <f>+'2. Business - Project details'!B26:C26</f>
        <v>0</v>
      </c>
      <c r="C22" s="311"/>
      <c r="D22" s="311"/>
    </row>
    <row r="23" spans="1:5" ht="27" customHeight="1" x14ac:dyDescent="0.25">
      <c r="A23" s="102" t="s">
        <v>136</v>
      </c>
      <c r="B23" s="96">
        <f>+'2. Business - Project details'!B27:C27</f>
        <v>0</v>
      </c>
      <c r="C23" s="311"/>
      <c r="D23" s="311"/>
    </row>
    <row r="24" spans="1:5" ht="27" customHeight="1" x14ac:dyDescent="0.25">
      <c r="A24" s="102" t="s">
        <v>182</v>
      </c>
      <c r="B24" s="96">
        <f>+'2. Business - Project details'!B28:C28</f>
        <v>0</v>
      </c>
      <c r="C24" s="311"/>
      <c r="D24" s="311"/>
    </row>
    <row r="25" spans="1:5" ht="10.15" customHeight="1" x14ac:dyDescent="0.3">
      <c r="A25" s="84"/>
      <c r="B25" s="86"/>
      <c r="C25" s="86"/>
      <c r="D25" s="86"/>
    </row>
    <row r="26" spans="1:5" s="89" customFormat="1" ht="27" customHeight="1" x14ac:dyDescent="0.25">
      <c r="A26" s="342" t="s">
        <v>183</v>
      </c>
      <c r="B26" s="342"/>
      <c r="C26" s="355" t="s">
        <v>180</v>
      </c>
      <c r="D26" s="356"/>
    </row>
    <row r="27" spans="1:5" s="92" customFormat="1" ht="27" customHeight="1" x14ac:dyDescent="0.25">
      <c r="A27" s="102" t="s">
        <v>184</v>
      </c>
      <c r="B27" s="96">
        <f>'2. Business - Project details'!B54:C54</f>
        <v>0</v>
      </c>
      <c r="C27" s="324"/>
      <c r="D27" s="326"/>
    </row>
    <row r="28" spans="1:5" s="92" customFormat="1" ht="27" customHeight="1" x14ac:dyDescent="0.25">
      <c r="A28" s="102" t="s">
        <v>185</v>
      </c>
      <c r="B28" s="96" t="str">
        <f>+'2. Business - Project details'!B56:C56</f>
        <v xml:space="preserve">Please select from the drop down menu </v>
      </c>
      <c r="C28" s="331" t="s">
        <v>99</v>
      </c>
      <c r="D28" s="333"/>
    </row>
    <row r="29" spans="1:5" s="92" customFormat="1" ht="27" customHeight="1" x14ac:dyDescent="0.25">
      <c r="A29" s="102" t="s">
        <v>52</v>
      </c>
      <c r="B29" s="96">
        <f>+'2. Business - Project details'!B61:C61</f>
        <v>0</v>
      </c>
      <c r="C29" s="324"/>
      <c r="D29" s="326"/>
    </row>
    <row r="30" spans="1:5" s="92" customFormat="1" ht="27" customHeight="1" x14ac:dyDescent="0.25">
      <c r="A30" s="102" t="s">
        <v>54</v>
      </c>
      <c r="B30" s="96">
        <f>+'2. Business - Project details'!B62</f>
        <v>0</v>
      </c>
      <c r="C30" s="324"/>
      <c r="D30" s="326"/>
    </row>
    <row r="31" spans="1:5" ht="10.15" customHeight="1" x14ac:dyDescent="0.3">
      <c r="A31" s="84"/>
      <c r="B31" s="86"/>
      <c r="C31" s="86"/>
      <c r="D31" s="86"/>
    </row>
    <row r="32" spans="1:5" ht="27" customHeight="1" x14ac:dyDescent="0.25">
      <c r="A32" s="102" t="s">
        <v>186</v>
      </c>
      <c r="B32" s="96" t="str">
        <f>+'2. Business - Project details'!B25:C25</f>
        <v>Financial Services &amp; Insurance OPS</v>
      </c>
      <c r="C32" s="358" t="s">
        <v>99</v>
      </c>
      <c r="D32" s="359"/>
    </row>
    <row r="33" spans="1:5" ht="27" customHeight="1" x14ac:dyDescent="0.25">
      <c r="A33" s="102" t="s">
        <v>187</v>
      </c>
      <c r="B33" s="96">
        <f>'2. Business - Project details'!B37:C37</f>
        <v>0</v>
      </c>
      <c r="C33" s="324"/>
      <c r="D33" s="326"/>
    </row>
    <row r="34" spans="1:5" ht="27" customHeight="1" x14ac:dyDescent="0.25">
      <c r="A34" s="102" t="s">
        <v>188</v>
      </c>
      <c r="B34" s="96">
        <f>'2. Business - Project details'!B38:C38</f>
        <v>0</v>
      </c>
      <c r="C34" s="324"/>
      <c r="D34" s="326"/>
    </row>
    <row r="35" spans="1:5" ht="27" customHeight="1" x14ac:dyDescent="0.25">
      <c r="A35" s="102" t="s">
        <v>147</v>
      </c>
      <c r="B35" s="96">
        <f>'2. Business - Project details'!B39:C39</f>
        <v>0</v>
      </c>
      <c r="C35" s="276" t="s">
        <v>76</v>
      </c>
      <c r="D35" s="276"/>
      <c r="E35" s="179"/>
    </row>
    <row r="36" spans="1:5" ht="27" customHeight="1" x14ac:dyDescent="0.25">
      <c r="A36" s="102" t="s">
        <v>148</v>
      </c>
      <c r="B36" s="96">
        <f>'2. Business - Project details'!B40:C40</f>
        <v>0</v>
      </c>
      <c r="C36" s="324"/>
      <c r="D36" s="326"/>
    </row>
    <row r="37" spans="1:5" ht="27" customHeight="1" x14ac:dyDescent="0.25">
      <c r="A37" s="102" t="s">
        <v>189</v>
      </c>
      <c r="B37" s="96">
        <f>'2. Business - Project details'!B19:D19</f>
        <v>0</v>
      </c>
      <c r="C37" s="190"/>
      <c r="D37" s="191"/>
    </row>
    <row r="38" spans="1:5" ht="27" customHeight="1" x14ac:dyDescent="0.25">
      <c r="A38" s="102" t="s">
        <v>190</v>
      </c>
      <c r="B38" s="96">
        <f>'2. Business - Project details'!B20:D20</f>
        <v>0</v>
      </c>
      <c r="C38" s="311"/>
      <c r="D38" s="311"/>
    </row>
    <row r="39" spans="1:5" ht="27" customHeight="1" x14ac:dyDescent="0.25">
      <c r="A39" s="102" t="s">
        <v>191</v>
      </c>
      <c r="B39" s="375" t="s">
        <v>99</v>
      </c>
      <c r="C39" s="376"/>
      <c r="D39" s="377"/>
    </row>
    <row r="40" spans="1:5" ht="10.15" customHeight="1" x14ac:dyDescent="0.3">
      <c r="A40" s="88"/>
      <c r="B40" s="86"/>
      <c r="C40" s="86"/>
      <c r="D40" s="86"/>
    </row>
    <row r="41" spans="1:5" ht="18" x14ac:dyDescent="0.4">
      <c r="A41" s="160" t="s">
        <v>192</v>
      </c>
      <c r="B41" s="86"/>
      <c r="C41" s="86"/>
      <c r="D41" s="86"/>
    </row>
    <row r="42" spans="1:5" ht="27" customHeight="1" x14ac:dyDescent="0.25">
      <c r="A42" s="103" t="s">
        <v>21</v>
      </c>
      <c r="B42" s="379">
        <f>+'1. Employee - Personal  Data'!B44:C44</f>
        <v>0</v>
      </c>
      <c r="C42" s="379"/>
      <c r="D42" s="379"/>
    </row>
    <row r="43" spans="1:5" ht="27" customHeight="1" x14ac:dyDescent="0.25">
      <c r="A43" s="103" t="s">
        <v>193</v>
      </c>
      <c r="B43" s="381" t="str">
        <f>+'1. Employee - Personal  Data'!B46:C46</f>
        <v xml:space="preserve">Please select from the drop down menu </v>
      </c>
      <c r="C43" s="381"/>
      <c r="D43" s="381"/>
    </row>
    <row r="44" spans="1:5" ht="27" customHeight="1" x14ac:dyDescent="0.25">
      <c r="A44" s="103" t="s">
        <v>194</v>
      </c>
      <c r="B44" s="378">
        <f>+'1. Employee - Personal  Data'!B47:C47</f>
        <v>0</v>
      </c>
      <c r="C44" s="378"/>
      <c r="D44" s="378"/>
    </row>
    <row r="45" spans="1:5" ht="27" customHeight="1" x14ac:dyDescent="0.25">
      <c r="A45" s="103" t="s">
        <v>106</v>
      </c>
      <c r="B45" s="379" t="str">
        <f>+'1. Employee - Personal  Data'!B49:C49</f>
        <v xml:space="preserve">Please select from the drop down menu </v>
      </c>
      <c r="C45" s="379"/>
      <c r="D45" s="379"/>
    </row>
    <row r="46" spans="1:5" ht="27" customHeight="1" x14ac:dyDescent="0.25">
      <c r="A46" s="103" t="s">
        <v>195</v>
      </c>
      <c r="B46" s="372" t="s">
        <v>99</v>
      </c>
      <c r="C46" s="373"/>
      <c r="D46" s="374"/>
    </row>
    <row r="47" spans="1:5" ht="27" customHeight="1" x14ac:dyDescent="0.25">
      <c r="A47" s="123" t="s">
        <v>107</v>
      </c>
      <c r="B47" s="186" t="s">
        <v>196</v>
      </c>
      <c r="C47" s="380" t="s">
        <v>197</v>
      </c>
      <c r="D47" s="380"/>
    </row>
    <row r="48" spans="1:5" ht="27" customHeight="1" x14ac:dyDescent="0.3">
      <c r="A48" s="95">
        <f>+'1. Employee - Personal  Data'!A51</f>
        <v>0</v>
      </c>
      <c r="B48" s="95">
        <f>+'1. Employee - Personal  Data'!B51</f>
        <v>0</v>
      </c>
      <c r="C48" s="368" t="s">
        <v>99</v>
      </c>
      <c r="D48" s="368"/>
    </row>
    <row r="49" spans="1:4" ht="27" customHeight="1" x14ac:dyDescent="0.3">
      <c r="A49" s="95">
        <f>+'1. Employee - Personal  Data'!A52</f>
        <v>0</v>
      </c>
      <c r="B49" s="95">
        <f>+'1. Employee - Personal  Data'!B52</f>
        <v>0</v>
      </c>
      <c r="C49" s="368" t="s">
        <v>99</v>
      </c>
      <c r="D49" s="368"/>
    </row>
    <row r="50" spans="1:4" ht="27" customHeight="1" x14ac:dyDescent="0.3">
      <c r="A50" s="95">
        <f>+'1. Employee - Personal  Data'!A53</f>
        <v>0</v>
      </c>
      <c r="B50" s="95">
        <f>+'1. Employee - Personal  Data'!B53</f>
        <v>0</v>
      </c>
      <c r="C50" s="368" t="s">
        <v>99</v>
      </c>
      <c r="D50" s="368"/>
    </row>
    <row r="51" spans="1:4" ht="10.15" customHeight="1" x14ac:dyDescent="0.3">
      <c r="A51" s="88"/>
      <c r="B51" s="86"/>
      <c r="C51" s="86"/>
      <c r="D51" s="86"/>
    </row>
    <row r="52" spans="1:4" ht="31.5" customHeight="1" x14ac:dyDescent="0.25">
      <c r="A52" s="155" t="s">
        <v>110</v>
      </c>
      <c r="B52" s="183" t="s">
        <v>111</v>
      </c>
      <c r="C52" s="183" t="s">
        <v>112</v>
      </c>
      <c r="D52" s="183" t="s">
        <v>113</v>
      </c>
    </row>
    <row r="53" spans="1:4" ht="31.5" customHeight="1" x14ac:dyDescent="0.25">
      <c r="A53" s="154" t="s">
        <v>114</v>
      </c>
      <c r="B53" s="157"/>
      <c r="C53" s="157"/>
      <c r="D53" s="158"/>
    </row>
    <row r="54" spans="1:4" ht="27" customHeight="1" x14ac:dyDescent="0.25">
      <c r="A54" s="154" t="s">
        <v>91</v>
      </c>
      <c r="B54" s="165">
        <f>'1. Employee - Personal  Data'!B57</f>
        <v>0</v>
      </c>
      <c r="C54" s="166">
        <f>'1. Employee - Personal  Data'!C57</f>
        <v>0</v>
      </c>
      <c r="D54" s="166"/>
    </row>
    <row r="55" spans="1:4" ht="27" customHeight="1" x14ac:dyDescent="0.25">
      <c r="A55" s="154" t="s">
        <v>19</v>
      </c>
      <c r="B55" s="167">
        <f>'1. Employee - Personal  Data'!B58</f>
        <v>0</v>
      </c>
      <c r="C55" s="167">
        <f>'1. Employee - Personal  Data'!C58</f>
        <v>0</v>
      </c>
      <c r="D55" s="166"/>
    </row>
    <row r="56" spans="1:4" ht="27" customHeight="1" x14ac:dyDescent="0.25">
      <c r="A56" s="154" t="s">
        <v>92</v>
      </c>
      <c r="B56" s="167">
        <f>'1. Employee - Personal  Data'!B59</f>
        <v>0</v>
      </c>
      <c r="C56" s="167">
        <f>'1. Employee - Personal  Data'!C59</f>
        <v>0</v>
      </c>
      <c r="D56" s="166"/>
    </row>
    <row r="57" spans="1:4" ht="27" customHeight="1" x14ac:dyDescent="0.25">
      <c r="A57" s="154" t="s">
        <v>93</v>
      </c>
      <c r="B57" s="167">
        <f>'1. Employee - Personal  Data'!B60</f>
        <v>0</v>
      </c>
      <c r="C57" s="167">
        <f>'1. Employee - Personal  Data'!C60</f>
        <v>0</v>
      </c>
      <c r="D57" s="166"/>
    </row>
    <row r="58" spans="1:4" ht="27" customHeight="1" thickBot="1" x14ac:dyDescent="0.35">
      <c r="A58" s="100" t="s">
        <v>167</v>
      </c>
      <c r="B58" s="101"/>
      <c r="C58" s="86"/>
      <c r="D58" s="86"/>
    </row>
    <row r="59" spans="1:4" ht="13.5" thickTop="1" x14ac:dyDescent="0.25">
      <c r="A59" s="97" t="s">
        <v>168</v>
      </c>
      <c r="B59" s="362" t="s">
        <v>99</v>
      </c>
      <c r="C59" s="363"/>
      <c r="D59" s="93"/>
    </row>
    <row r="60" spans="1:4" ht="13" x14ac:dyDescent="0.25">
      <c r="A60" s="98" t="s">
        <v>198</v>
      </c>
      <c r="B60" s="364" t="s">
        <v>99</v>
      </c>
      <c r="C60" s="365"/>
      <c r="D60" s="93"/>
    </row>
    <row r="61" spans="1:4" ht="13" x14ac:dyDescent="0.25">
      <c r="A61" s="98" t="s">
        <v>199</v>
      </c>
      <c r="B61" s="364" t="s">
        <v>99</v>
      </c>
      <c r="C61" s="365"/>
      <c r="D61" s="93"/>
    </row>
    <row r="62" spans="1:4" ht="13" x14ac:dyDescent="0.25">
      <c r="A62" s="98" t="s">
        <v>200</v>
      </c>
      <c r="B62" s="366" t="s">
        <v>99</v>
      </c>
      <c r="C62" s="365"/>
      <c r="D62" s="93"/>
    </row>
    <row r="63" spans="1:4" ht="13" thickBot="1" x14ac:dyDescent="0.3">
      <c r="A63" s="99" t="s">
        <v>201</v>
      </c>
      <c r="B63" s="360"/>
      <c r="C63" s="361"/>
      <c r="D63" s="93"/>
    </row>
    <row r="64" spans="1:4" ht="13.5" thickTop="1" x14ac:dyDescent="0.3">
      <c r="A64" s="88"/>
      <c r="B64" s="86"/>
      <c r="C64" s="86"/>
      <c r="D64" s="86"/>
    </row>
    <row r="65" spans="1:4" ht="14.5" x14ac:dyDescent="0.35">
      <c r="A65" s="367" t="s">
        <v>73</v>
      </c>
      <c r="B65" s="367"/>
      <c r="C65" s="367"/>
      <c r="D65" s="367"/>
    </row>
    <row r="66" spans="1:4" ht="14.5" x14ac:dyDescent="0.35">
      <c r="A66" s="367" t="s">
        <v>202</v>
      </c>
      <c r="B66" s="367"/>
      <c r="C66" s="367"/>
      <c r="D66" s="367"/>
    </row>
    <row r="67" spans="1:4" ht="14.5" x14ac:dyDescent="0.35">
      <c r="A67" s="237"/>
      <c r="B67" s="237"/>
      <c r="C67" s="237"/>
      <c r="D67" s="237"/>
    </row>
  </sheetData>
  <sheetProtection selectLockedCells="1"/>
  <mergeCells count="42">
    <mergeCell ref="A66:D66"/>
    <mergeCell ref="A65:D65"/>
    <mergeCell ref="C50:D50"/>
    <mergeCell ref="B15:D15"/>
    <mergeCell ref="B16:D16"/>
    <mergeCell ref="C48:D48"/>
    <mergeCell ref="C49:D49"/>
    <mergeCell ref="B46:D46"/>
    <mergeCell ref="B39:D39"/>
    <mergeCell ref="B44:D44"/>
    <mergeCell ref="B45:D45"/>
    <mergeCell ref="C47:D47"/>
    <mergeCell ref="C36:D36"/>
    <mergeCell ref="C38:D38"/>
    <mergeCell ref="B43:D43"/>
    <mergeCell ref="B42:D42"/>
    <mergeCell ref="B63:C63"/>
    <mergeCell ref="B59:C59"/>
    <mergeCell ref="B60:C60"/>
    <mergeCell ref="B61:C61"/>
    <mergeCell ref="B62:C62"/>
    <mergeCell ref="C34:D34"/>
    <mergeCell ref="C35:D35"/>
    <mergeCell ref="C27:D27"/>
    <mergeCell ref="C28:D28"/>
    <mergeCell ref="C29:D29"/>
    <mergeCell ref="C30:D30"/>
    <mergeCell ref="C32:D32"/>
    <mergeCell ref="A2:C2"/>
    <mergeCell ref="A26:B26"/>
    <mergeCell ref="A19:B19"/>
    <mergeCell ref="C20:D20"/>
    <mergeCell ref="C33:D33"/>
    <mergeCell ref="C21:D21"/>
    <mergeCell ref="C22:D22"/>
    <mergeCell ref="C4:D7"/>
    <mergeCell ref="C19:D19"/>
    <mergeCell ref="B17:D17"/>
    <mergeCell ref="C23:D23"/>
    <mergeCell ref="C24:D24"/>
    <mergeCell ref="C26:D26"/>
    <mergeCell ref="B8:D8"/>
  </mergeCells>
  <dataValidations count="7">
    <dataValidation type="list" allowBlank="1" showInputMessage="1" showErrorMessage="1" sqref="B40:C40 C48:C51 C58" xr:uid="{00000000-0002-0000-0400-000000000000}">
      <formula1>"Please select from the drop down menu,yes,no"</formula1>
    </dataValidation>
    <dataValidation type="list" allowBlank="1" showInputMessage="1" showErrorMessage="1" sqref="C31:D31" xr:uid="{00000000-0002-0000-0400-000001000000}">
      <formula1>"Please select from the drop down menu,Managed Services, Consulting &amp; System Integration,Big data &amp; security,Cloud &amp; Enterprise software,Wordline,Shared functions"</formula1>
    </dataValidation>
    <dataValidation type="list" allowBlank="1" showInputMessage="1" showErrorMessage="1" sqref="B39" xr:uid="{00000000-0002-0000-0400-000002000000}">
      <formula1>"Billable to Client, Not Billable to Client"</formula1>
    </dataValidation>
    <dataValidation type="list" allowBlank="1" showInputMessage="1" showErrorMessage="1" sqref="B62:C62" xr:uid="{00000000-0002-0000-0400-000003000000}">
      <formula1>"Please select from the drop down menu,approved,refused"</formula1>
    </dataValidation>
    <dataValidation type="list" allowBlank="1" showInputMessage="1" showErrorMessage="1" sqref="B61:C61" xr:uid="{00000000-0002-0000-0400-000004000000}">
      <formula1>"Please select from the drop down menu,Home payroll,Host payroll"</formula1>
    </dataValidation>
    <dataValidation type="list" allowBlank="1" showInputMessage="1" showErrorMessage="1" sqref="B59:C59" xr:uid="{00000000-0002-0000-0400-000005000000}">
      <formula1>"Please select from the drop down menu,Business Travel,LR Policy,Global IM Policy"</formula1>
    </dataValidation>
    <dataValidation type="list" allowBlank="1" showInputMessage="1" showErrorMessage="1" sqref="B46:D46" xr:uid="{00000000-0002-0000-0400-000006000000}">
      <formula1>"Yes, No"</formula1>
    </dataValidation>
  </dataValidations>
  <pageMargins left="0.7" right="0.7" top="0.75" bottom="0.75" header="0.3" footer="0.3"/>
  <pageSetup paperSize="9" scale="56"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7000000}">
          <x14:formula1>
            <xm:f>'Final List'!$A$1:$A$37</xm:f>
          </x14:formula1>
          <xm:sqref>B60:C60</xm:sqref>
        </x14:dataValidation>
        <x14:dataValidation type="list" allowBlank="1" showInputMessage="1" showErrorMessage="1" xr:uid="{00000000-0002-0000-0400-000008000000}">
          <x14:formula1>
            <xm:f>'Menus '!$A$24:$A$227</xm:f>
          </x14:formula1>
          <xm:sqref>C20:D20</xm:sqref>
        </x14:dataValidation>
        <x14:dataValidation type="list" allowBlank="1" showErrorMessage="1" promptTitle="Please select from the drop down" prompt="Please select from the drop down" xr:uid="{00000000-0002-0000-0400-00000A000000}">
          <x14:formula1>
            <xm:f>Sheet1!$A$3:$A$382</xm:f>
          </x14:formula1>
          <xm:sqref>C35</xm:sqref>
        </x14:dataValidation>
        <x14:dataValidation type="list" allowBlank="1" showInputMessage="1" showErrorMessage="1" xr:uid="{00000000-0002-0000-0400-000009000000}">
          <x14:formula1>
            <xm:f>Sheet1!$D$4:$D$29</xm:f>
          </x14:formula1>
          <xm:sqref>C28:D28 C32:D32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491BF-208B-4193-B36C-ACE5FE9D6E2B}">
  <dimension ref="B1:G8"/>
  <sheetViews>
    <sheetView workbookViewId="0">
      <selection activeCell="E8" sqref="E8"/>
    </sheetView>
  </sheetViews>
  <sheetFormatPr defaultRowHeight="12.5" x14ac:dyDescent="0.25"/>
  <cols>
    <col min="2" max="2" width="5.1796875" bestFit="1" customWidth="1"/>
    <col min="3" max="3" width="7.26953125" bestFit="1" customWidth="1"/>
    <col min="4" max="4" width="9.453125" bestFit="1" customWidth="1"/>
    <col min="5" max="5" width="54.26953125" bestFit="1" customWidth="1"/>
    <col min="6" max="6" width="13.81640625" bestFit="1" customWidth="1"/>
    <col min="7" max="7" width="16.453125" bestFit="1" customWidth="1"/>
  </cols>
  <sheetData>
    <row r="1" spans="2:7" x14ac:dyDescent="0.25">
      <c r="B1" s="233" t="s">
        <v>203</v>
      </c>
      <c r="C1" s="233" t="s">
        <v>204</v>
      </c>
      <c r="D1" s="233" t="s">
        <v>205</v>
      </c>
      <c r="E1" s="233" t="s">
        <v>110</v>
      </c>
      <c r="F1" s="233" t="s">
        <v>206</v>
      </c>
      <c r="G1" s="233" t="s">
        <v>207</v>
      </c>
    </row>
    <row r="2" spans="2:7" x14ac:dyDescent="0.25">
      <c r="B2" s="234">
        <v>1</v>
      </c>
      <c r="C2" s="234">
        <v>1.1000000000000001</v>
      </c>
      <c r="D2" s="235">
        <v>43454</v>
      </c>
      <c r="E2" s="236" t="s">
        <v>208</v>
      </c>
      <c r="F2" s="234" t="s">
        <v>209</v>
      </c>
      <c r="G2" s="234" t="s">
        <v>210</v>
      </c>
    </row>
    <row r="3" spans="2:7" x14ac:dyDescent="0.25">
      <c r="B3" s="234">
        <v>2</v>
      </c>
      <c r="C3" s="234">
        <v>1.2</v>
      </c>
      <c r="D3" s="235">
        <v>43481</v>
      </c>
      <c r="E3" s="234" t="s">
        <v>211</v>
      </c>
      <c r="F3" s="234" t="s">
        <v>212</v>
      </c>
      <c r="G3" s="234" t="s">
        <v>210</v>
      </c>
    </row>
    <row r="4" spans="2:7" x14ac:dyDescent="0.25">
      <c r="B4" s="234">
        <v>3</v>
      </c>
      <c r="C4" s="234">
        <v>1.3</v>
      </c>
      <c r="D4" s="235">
        <v>43791</v>
      </c>
      <c r="E4" s="234" t="s">
        <v>213</v>
      </c>
      <c r="F4" s="234" t="s">
        <v>212</v>
      </c>
      <c r="G4" s="234" t="s">
        <v>210</v>
      </c>
    </row>
    <row r="5" spans="2:7" x14ac:dyDescent="0.25">
      <c r="B5" s="234">
        <v>4</v>
      </c>
      <c r="C5" s="234">
        <v>1.3</v>
      </c>
      <c r="D5" s="235">
        <v>43791</v>
      </c>
      <c r="E5" s="234" t="s">
        <v>214</v>
      </c>
      <c r="F5" s="234" t="s">
        <v>215</v>
      </c>
      <c r="G5" s="234" t="s">
        <v>210</v>
      </c>
    </row>
    <row r="6" spans="2:7" x14ac:dyDescent="0.25">
      <c r="B6" s="234">
        <v>5</v>
      </c>
      <c r="C6" s="234">
        <v>1.4</v>
      </c>
      <c r="D6" s="235">
        <v>44273</v>
      </c>
      <c r="E6" s="234" t="s">
        <v>216</v>
      </c>
      <c r="F6" s="234" t="s">
        <v>217</v>
      </c>
      <c r="G6" s="234" t="s">
        <v>210</v>
      </c>
    </row>
    <row r="7" spans="2:7" x14ac:dyDescent="0.25">
      <c r="B7" s="234">
        <v>6</v>
      </c>
      <c r="C7" s="234">
        <v>1.5</v>
      </c>
      <c r="D7" s="235">
        <v>44343</v>
      </c>
      <c r="E7" s="234" t="s">
        <v>218</v>
      </c>
      <c r="F7" s="234" t="s">
        <v>215</v>
      </c>
      <c r="G7" s="234" t="s">
        <v>210</v>
      </c>
    </row>
    <row r="8" spans="2:7" x14ac:dyDescent="0.25">
      <c r="B8" s="234">
        <v>7</v>
      </c>
      <c r="C8" s="234">
        <v>1.6</v>
      </c>
      <c r="D8" s="235">
        <v>44489</v>
      </c>
      <c r="E8" s="234" t="s">
        <v>219</v>
      </c>
      <c r="F8" s="234" t="s">
        <v>215</v>
      </c>
      <c r="G8" s="234" t="s">
        <v>220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A1:A37"/>
  <sheetViews>
    <sheetView topLeftCell="A9" workbookViewId="0">
      <selection activeCell="A9" sqref="A9"/>
    </sheetView>
  </sheetViews>
  <sheetFormatPr defaultColWidth="9.1796875" defaultRowHeight="12.5" x14ac:dyDescent="0.25"/>
  <cols>
    <col min="1" max="1" width="38" customWidth="1"/>
  </cols>
  <sheetData>
    <row r="1" spans="1:1" ht="13" x14ac:dyDescent="0.3">
      <c r="A1" s="135" t="s">
        <v>99</v>
      </c>
    </row>
    <row r="2" spans="1:1" x14ac:dyDescent="0.25">
      <c r="A2" t="str">
        <f>[1]Sheet1!E4</f>
        <v>Business Visa</v>
      </c>
    </row>
    <row r="3" spans="1:1" x14ac:dyDescent="0.25">
      <c r="A3" t="str">
        <f>[1]Sheet1!E5</f>
        <v>Visit Visa</v>
      </c>
    </row>
    <row r="4" spans="1:1" x14ac:dyDescent="0.25">
      <c r="A4" t="str">
        <f>[1]Sheet1!E6</f>
        <v>Tourist Visa</v>
      </c>
    </row>
    <row r="5" spans="1:1" x14ac:dyDescent="0.25">
      <c r="A5" t="s">
        <v>221</v>
      </c>
    </row>
    <row r="6" spans="1:1" x14ac:dyDescent="0.25">
      <c r="A6" t="str">
        <f>[1]Sheet1!E7</f>
        <v>Dependent Visa</v>
      </c>
    </row>
    <row r="7" spans="1:1" x14ac:dyDescent="0.25">
      <c r="A7" t="str">
        <f>[1]Sheet1!E8</f>
        <v xml:space="preserve">Work Permit </v>
      </c>
    </row>
    <row r="8" spans="1:1" x14ac:dyDescent="0.25">
      <c r="A8" t="str">
        <f>[1]Sheet1!E9</f>
        <v>Work Permit Extension</v>
      </c>
    </row>
    <row r="9" spans="1:1" x14ac:dyDescent="0.25">
      <c r="A9" t="str">
        <f>[1]Sheet1!E10</f>
        <v>Long Term Work Permit</v>
      </c>
    </row>
    <row r="10" spans="1:1" x14ac:dyDescent="0.25">
      <c r="A10" t="str">
        <f>[1]Sheet1!E11</f>
        <v>Short Term Work Permit</v>
      </c>
    </row>
    <row r="11" spans="1:1" x14ac:dyDescent="0.25">
      <c r="A11" t="str">
        <f>[1]Sheet1!E12</f>
        <v>Long Term Dependent WP</v>
      </c>
    </row>
    <row r="12" spans="1:1" x14ac:dyDescent="0.25">
      <c r="A12" t="str">
        <f>[1]Sheet1!E13</f>
        <v>Short Term Dependent WP</v>
      </c>
    </row>
    <row r="13" spans="1:1" x14ac:dyDescent="0.25">
      <c r="A13" t="str">
        <f>[1]Sheet1!C4</f>
        <v>Tier-2 ICT Short Term WP</v>
      </c>
    </row>
    <row r="14" spans="1:1" x14ac:dyDescent="0.25">
      <c r="A14" t="str">
        <f>[1]Sheet1!C5</f>
        <v>Tier-2 ICT Long Term WP</v>
      </c>
    </row>
    <row r="15" spans="1:1" x14ac:dyDescent="0.25">
      <c r="A15" t="str">
        <f>[1]Sheet1!C6</f>
        <v>Tier-2 ICT Short term Staff Partner</v>
      </c>
    </row>
    <row r="16" spans="1:1" x14ac:dyDescent="0.25">
      <c r="A16" t="str">
        <f>[1]Sheet1!C7</f>
        <v>Tier-2 ICT Long term Staff Partner</v>
      </c>
    </row>
    <row r="17" spans="1:1" x14ac:dyDescent="0.25">
      <c r="A17" t="str">
        <f>[1]Sheet1!C8</f>
        <v>Tier-2 ICT Short term Staff Child</v>
      </c>
    </row>
    <row r="18" spans="1:1" x14ac:dyDescent="0.25">
      <c r="A18" t="str">
        <f>[1]Sheet1!C9</f>
        <v>Tier-2 ICT Long Term Staff Child</v>
      </c>
    </row>
    <row r="19" spans="1:1" x14ac:dyDescent="0.25">
      <c r="A19" t="str">
        <f>[1]Sheet1!C11</f>
        <v>Tier-2 Skill Transfer WP</v>
      </c>
    </row>
    <row r="20" spans="1:1" x14ac:dyDescent="0.25">
      <c r="A20" t="str">
        <f>[1]Sheet1!C21</f>
        <v>L-1A Blanket</v>
      </c>
    </row>
    <row r="21" spans="1:1" x14ac:dyDescent="0.25">
      <c r="A21" t="str">
        <f>[1]Sheet1!C22</f>
        <v>L-1A Individual</v>
      </c>
    </row>
    <row r="22" spans="1:1" x14ac:dyDescent="0.25">
      <c r="A22" t="str">
        <f>[1]Sheet1!C23</f>
        <v>L-1B Blanket</v>
      </c>
    </row>
    <row r="23" spans="1:1" x14ac:dyDescent="0.25">
      <c r="A23" t="str">
        <f>[1]Sheet1!C24</f>
        <v>L-1B Individual</v>
      </c>
    </row>
    <row r="24" spans="1:1" x14ac:dyDescent="0.25">
      <c r="A24" t="str">
        <f>[1]Sheet1!C25</f>
        <v>H-1B</v>
      </c>
    </row>
    <row r="25" spans="1:1" x14ac:dyDescent="0.25">
      <c r="A25" t="str">
        <f>[1]Sheet1!C26</f>
        <v>H-4</v>
      </c>
    </row>
    <row r="26" spans="1:1" x14ac:dyDescent="0.25">
      <c r="A26" t="str">
        <f>[1]Sheet1!C27</f>
        <v>L-2</v>
      </c>
    </row>
    <row r="27" spans="1:1" x14ac:dyDescent="0.25">
      <c r="A27" t="str">
        <f>[1]Sheet1!C29</f>
        <v>Single Short Stay Visa</v>
      </c>
    </row>
    <row r="28" spans="1:1" x14ac:dyDescent="0.25">
      <c r="A28" t="str">
        <f>[1]Sheet1!C30</f>
        <v>Single Long Stay Visa</v>
      </c>
    </row>
    <row r="29" spans="1:1" x14ac:dyDescent="0.25">
      <c r="A29" t="str">
        <f>[1]Sheet1!C31</f>
        <v>Mission Visa</v>
      </c>
    </row>
    <row r="30" spans="1:1" x14ac:dyDescent="0.25">
      <c r="A30" t="str">
        <f>[1]Sheet1!C34</f>
        <v>Work Visit Visa</v>
      </c>
    </row>
    <row r="31" spans="1:1" x14ac:dyDescent="0.25">
      <c r="A31" t="str">
        <f>[1]Sheet1!C35</f>
        <v>Work Permit (IQAMA)</v>
      </c>
    </row>
    <row r="32" spans="1:1" x14ac:dyDescent="0.25">
      <c r="A32" t="str">
        <f>[1]Sheet1!C49</f>
        <v>Employment Pass</v>
      </c>
    </row>
    <row r="33" spans="1:1" x14ac:dyDescent="0.25">
      <c r="A33" t="str">
        <f>[1]Sheet1!C55</f>
        <v>Work Permit 3</v>
      </c>
    </row>
    <row r="34" spans="1:1" x14ac:dyDescent="0.25">
      <c r="A34" t="str">
        <f>[1]Sheet1!C56</f>
        <v>Visa on Arrival</v>
      </c>
    </row>
    <row r="35" spans="1:1" x14ac:dyDescent="0.25">
      <c r="A35" t="str">
        <f>[1]Sheet1!C58</f>
        <v>Business Visa (Subclass 600)</v>
      </c>
    </row>
    <row r="36" spans="1:1" x14ac:dyDescent="0.25">
      <c r="A36" t="str">
        <f>[1]Sheet1!C59</f>
        <v>Short Stay (Subclass 400)</v>
      </c>
    </row>
    <row r="37" spans="1:1" x14ac:dyDescent="0.25">
      <c r="A37" t="str">
        <f>[1]Sheet1!C60</f>
        <v>Work Permit (Subclass 457)</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4:E227"/>
  <sheetViews>
    <sheetView topLeftCell="A20" workbookViewId="0">
      <selection activeCell="D42" sqref="D42"/>
    </sheetView>
  </sheetViews>
  <sheetFormatPr defaultColWidth="11.453125" defaultRowHeight="12.5" x14ac:dyDescent="0.25"/>
  <cols>
    <col min="1" max="1" width="34.81640625" bestFit="1" customWidth="1"/>
    <col min="2" max="2" width="37.1796875" bestFit="1" customWidth="1"/>
    <col min="3" max="5" width="34.81640625" bestFit="1" customWidth="1"/>
  </cols>
  <sheetData>
    <row r="4" spans="1:5" x14ac:dyDescent="0.25">
      <c r="A4" t="s">
        <v>76</v>
      </c>
      <c r="B4" t="s">
        <v>76</v>
      </c>
      <c r="C4" t="s">
        <v>76</v>
      </c>
      <c r="D4" t="s">
        <v>76</v>
      </c>
    </row>
    <row r="5" spans="1:5" x14ac:dyDescent="0.25">
      <c r="A5" t="s">
        <v>222</v>
      </c>
      <c r="B5" t="s">
        <v>223</v>
      </c>
      <c r="C5" t="s">
        <v>224</v>
      </c>
      <c r="D5" t="s">
        <v>225</v>
      </c>
    </row>
    <row r="6" spans="1:5" x14ac:dyDescent="0.25">
      <c r="A6" t="s">
        <v>226</v>
      </c>
      <c r="B6" t="s">
        <v>227</v>
      </c>
      <c r="C6" t="s">
        <v>228</v>
      </c>
      <c r="D6" t="s">
        <v>229</v>
      </c>
    </row>
    <row r="7" spans="1:5" x14ac:dyDescent="0.25">
      <c r="A7" t="s">
        <v>230</v>
      </c>
      <c r="B7" t="s">
        <v>231</v>
      </c>
      <c r="C7" t="s">
        <v>232</v>
      </c>
      <c r="D7" t="s">
        <v>233</v>
      </c>
    </row>
    <row r="8" spans="1:5" x14ac:dyDescent="0.25">
      <c r="A8" t="s">
        <v>234</v>
      </c>
      <c r="D8" t="s">
        <v>235</v>
      </c>
    </row>
    <row r="9" spans="1:5" x14ac:dyDescent="0.25">
      <c r="A9" t="s">
        <v>236</v>
      </c>
    </row>
    <row r="10" spans="1:5" x14ac:dyDescent="0.25">
      <c r="A10" t="s">
        <v>237</v>
      </c>
    </row>
    <row r="11" spans="1:5" x14ac:dyDescent="0.25">
      <c r="C11" t="s">
        <v>238</v>
      </c>
      <c r="D11" t="s">
        <v>76</v>
      </c>
      <c r="E11" t="s">
        <v>76</v>
      </c>
    </row>
    <row r="12" spans="1:5" x14ac:dyDescent="0.25">
      <c r="B12" t="s">
        <v>76</v>
      </c>
      <c r="C12" t="s">
        <v>239</v>
      </c>
      <c r="D12" t="s">
        <v>240</v>
      </c>
      <c r="E12" t="s">
        <v>241</v>
      </c>
    </row>
    <row r="13" spans="1:5" x14ac:dyDescent="0.25">
      <c r="A13" t="s">
        <v>76</v>
      </c>
      <c r="B13" t="s">
        <v>241</v>
      </c>
      <c r="C13" t="s">
        <v>242</v>
      </c>
      <c r="D13" t="s">
        <v>243</v>
      </c>
      <c r="E13" t="s">
        <v>244</v>
      </c>
    </row>
    <row r="14" spans="1:5" x14ac:dyDescent="0.25">
      <c r="A14" t="s">
        <v>224</v>
      </c>
      <c r="B14" t="s">
        <v>244</v>
      </c>
      <c r="C14" t="s">
        <v>245</v>
      </c>
      <c r="D14" t="s">
        <v>246</v>
      </c>
    </row>
    <row r="15" spans="1:5" x14ac:dyDescent="0.25">
      <c r="A15" t="s">
        <v>247</v>
      </c>
      <c r="B15" t="s">
        <v>248</v>
      </c>
      <c r="C15" t="s">
        <v>249</v>
      </c>
    </row>
    <row r="16" spans="1:5" x14ac:dyDescent="0.25">
      <c r="A16" t="s">
        <v>250</v>
      </c>
      <c r="C16" s="1"/>
      <c r="E16" t="s">
        <v>76</v>
      </c>
    </row>
    <row r="17" spans="1:5" x14ac:dyDescent="0.25">
      <c r="A17" t="s">
        <v>251</v>
      </c>
      <c r="C17" s="1"/>
      <c r="E17" t="s">
        <v>252</v>
      </c>
    </row>
    <row r="18" spans="1:5" x14ac:dyDescent="0.25">
      <c r="A18" t="s">
        <v>253</v>
      </c>
      <c r="E18" t="s">
        <v>254</v>
      </c>
    </row>
    <row r="19" spans="1:5" x14ac:dyDescent="0.25">
      <c r="A19" t="s">
        <v>255</v>
      </c>
      <c r="E19" t="s">
        <v>256</v>
      </c>
    </row>
    <row r="20" spans="1:5" x14ac:dyDescent="0.25">
      <c r="A20" t="s">
        <v>257</v>
      </c>
    </row>
    <row r="21" spans="1:5" x14ac:dyDescent="0.25">
      <c r="A21" t="s">
        <v>258</v>
      </c>
    </row>
    <row r="22" spans="1:5" x14ac:dyDescent="0.25">
      <c r="A22" t="s">
        <v>259</v>
      </c>
    </row>
    <row r="23" spans="1:5" x14ac:dyDescent="0.25">
      <c r="D23" s="86" t="s">
        <v>99</v>
      </c>
    </row>
    <row r="24" spans="1:5" x14ac:dyDescent="0.25">
      <c r="A24" t="s">
        <v>76</v>
      </c>
      <c r="B24" t="s">
        <v>260</v>
      </c>
      <c r="C24" t="s">
        <v>76</v>
      </c>
      <c r="D24" s="86" t="s">
        <v>261</v>
      </c>
    </row>
    <row r="25" spans="1:5" x14ac:dyDescent="0.25">
      <c r="A25" s="58" t="s">
        <v>262</v>
      </c>
      <c r="B25" t="s">
        <v>263</v>
      </c>
      <c r="C25" t="s">
        <v>264</v>
      </c>
      <c r="D25" s="86" t="s">
        <v>265</v>
      </c>
    </row>
    <row r="26" spans="1:5" x14ac:dyDescent="0.25">
      <c r="A26" s="58" t="s">
        <v>266</v>
      </c>
      <c r="C26" t="s">
        <v>267</v>
      </c>
      <c r="D26" s="86" t="s">
        <v>268</v>
      </c>
    </row>
    <row r="27" spans="1:5" x14ac:dyDescent="0.25">
      <c r="A27" s="58" t="s">
        <v>269</v>
      </c>
      <c r="C27" t="s">
        <v>270</v>
      </c>
      <c r="D27" s="86" t="s">
        <v>271</v>
      </c>
    </row>
    <row r="28" spans="1:5" x14ac:dyDescent="0.25">
      <c r="A28" s="58" t="s">
        <v>272</v>
      </c>
      <c r="C28" t="s">
        <v>273</v>
      </c>
      <c r="D28" s="86" t="s">
        <v>274</v>
      </c>
    </row>
    <row r="29" spans="1:5" x14ac:dyDescent="0.25">
      <c r="A29" s="58" t="s">
        <v>275</v>
      </c>
      <c r="C29" t="s">
        <v>276</v>
      </c>
      <c r="D29" s="86" t="s">
        <v>277</v>
      </c>
    </row>
    <row r="30" spans="1:5" x14ac:dyDescent="0.25">
      <c r="A30" s="58" t="s">
        <v>278</v>
      </c>
      <c r="C30" t="s">
        <v>279</v>
      </c>
      <c r="D30" s="86" t="s">
        <v>280</v>
      </c>
    </row>
    <row r="31" spans="1:5" x14ac:dyDescent="0.25">
      <c r="A31" s="58" t="s">
        <v>281</v>
      </c>
      <c r="C31" t="s">
        <v>282</v>
      </c>
      <c r="D31" s="86" t="s">
        <v>283</v>
      </c>
    </row>
    <row r="32" spans="1:5" x14ac:dyDescent="0.25">
      <c r="A32" s="58" t="s">
        <v>284</v>
      </c>
      <c r="C32" t="s">
        <v>285</v>
      </c>
      <c r="D32" s="86" t="s">
        <v>286</v>
      </c>
    </row>
    <row r="33" spans="1:4" x14ac:dyDescent="0.25">
      <c r="A33" s="58" t="s">
        <v>287</v>
      </c>
      <c r="C33" t="s">
        <v>288</v>
      </c>
      <c r="D33" s="86" t="s">
        <v>289</v>
      </c>
    </row>
    <row r="34" spans="1:4" x14ac:dyDescent="0.25">
      <c r="A34" s="58" t="s">
        <v>290</v>
      </c>
      <c r="C34" t="s">
        <v>291</v>
      </c>
      <c r="D34" s="86" t="s">
        <v>292</v>
      </c>
    </row>
    <row r="35" spans="1:4" x14ac:dyDescent="0.25">
      <c r="A35" s="58" t="s">
        <v>293</v>
      </c>
      <c r="C35" t="s">
        <v>294</v>
      </c>
      <c r="D35" s="86" t="s">
        <v>295</v>
      </c>
    </row>
    <row r="36" spans="1:4" x14ac:dyDescent="0.25">
      <c r="A36" s="58" t="s">
        <v>296</v>
      </c>
      <c r="C36" t="s">
        <v>297</v>
      </c>
      <c r="D36" s="86" t="s">
        <v>298</v>
      </c>
    </row>
    <row r="37" spans="1:4" x14ac:dyDescent="0.25">
      <c r="A37" s="58" t="s">
        <v>299</v>
      </c>
      <c r="C37" t="s">
        <v>300</v>
      </c>
      <c r="D37" s="86" t="s">
        <v>301</v>
      </c>
    </row>
    <row r="38" spans="1:4" x14ac:dyDescent="0.25">
      <c r="A38" s="58" t="s">
        <v>302</v>
      </c>
      <c r="C38" t="s">
        <v>303</v>
      </c>
      <c r="D38" s="86" t="s">
        <v>304</v>
      </c>
    </row>
    <row r="39" spans="1:4" x14ac:dyDescent="0.25">
      <c r="A39" s="58" t="s">
        <v>305</v>
      </c>
      <c r="C39" t="s">
        <v>306</v>
      </c>
      <c r="D39" s="86" t="s">
        <v>307</v>
      </c>
    </row>
    <row r="40" spans="1:4" x14ac:dyDescent="0.25">
      <c r="A40" s="58" t="s">
        <v>308</v>
      </c>
      <c r="C40" t="s">
        <v>309</v>
      </c>
      <c r="D40" s="86" t="s">
        <v>310</v>
      </c>
    </row>
    <row r="41" spans="1:4" x14ac:dyDescent="0.25">
      <c r="A41" s="58" t="s">
        <v>311</v>
      </c>
      <c r="C41" t="s">
        <v>312</v>
      </c>
      <c r="D41" s="86" t="s">
        <v>313</v>
      </c>
    </row>
    <row r="42" spans="1:4" x14ac:dyDescent="0.25">
      <c r="A42" s="58" t="s">
        <v>314</v>
      </c>
      <c r="C42" t="s">
        <v>315</v>
      </c>
      <c r="D42" s="86" t="s">
        <v>316</v>
      </c>
    </row>
    <row r="43" spans="1:4" x14ac:dyDescent="0.25">
      <c r="A43" s="58" t="s">
        <v>317</v>
      </c>
      <c r="C43" t="s">
        <v>318</v>
      </c>
      <c r="D43" s="86" t="s">
        <v>319</v>
      </c>
    </row>
    <row r="44" spans="1:4" x14ac:dyDescent="0.25">
      <c r="A44" s="58" t="s">
        <v>320</v>
      </c>
      <c r="C44" t="s">
        <v>321</v>
      </c>
    </row>
    <row r="45" spans="1:4" x14ac:dyDescent="0.25">
      <c r="A45" s="58" t="s">
        <v>322</v>
      </c>
      <c r="C45" t="s">
        <v>323</v>
      </c>
    </row>
    <row r="46" spans="1:4" x14ac:dyDescent="0.25">
      <c r="A46" s="58" t="s">
        <v>324</v>
      </c>
      <c r="C46" t="s">
        <v>325</v>
      </c>
    </row>
    <row r="47" spans="1:4" x14ac:dyDescent="0.25">
      <c r="A47" s="58" t="s">
        <v>326</v>
      </c>
      <c r="C47" t="s">
        <v>327</v>
      </c>
    </row>
    <row r="48" spans="1:4" x14ac:dyDescent="0.25">
      <c r="A48" s="58" t="s">
        <v>328</v>
      </c>
      <c r="C48" t="s">
        <v>329</v>
      </c>
    </row>
    <row r="49" spans="1:3" x14ac:dyDescent="0.25">
      <c r="A49" s="58" t="s">
        <v>330</v>
      </c>
      <c r="C49" t="s">
        <v>331</v>
      </c>
    </row>
    <row r="50" spans="1:3" x14ac:dyDescent="0.25">
      <c r="A50" s="58" t="s">
        <v>332</v>
      </c>
      <c r="C50" t="s">
        <v>333</v>
      </c>
    </row>
    <row r="51" spans="1:3" x14ac:dyDescent="0.25">
      <c r="A51" s="58" t="s">
        <v>334</v>
      </c>
      <c r="C51" t="s">
        <v>335</v>
      </c>
    </row>
    <row r="52" spans="1:3" x14ac:dyDescent="0.25">
      <c r="A52" s="58" t="s">
        <v>336</v>
      </c>
      <c r="C52" t="s">
        <v>337</v>
      </c>
    </row>
    <row r="53" spans="1:3" x14ac:dyDescent="0.25">
      <c r="A53" s="58" t="s">
        <v>338</v>
      </c>
      <c r="C53" t="s">
        <v>339</v>
      </c>
    </row>
    <row r="54" spans="1:3" x14ac:dyDescent="0.25">
      <c r="A54" s="58" t="s">
        <v>340</v>
      </c>
      <c r="C54" t="s">
        <v>341</v>
      </c>
    </row>
    <row r="55" spans="1:3" x14ac:dyDescent="0.25">
      <c r="A55" s="58" t="s">
        <v>342</v>
      </c>
      <c r="C55" t="s">
        <v>343</v>
      </c>
    </row>
    <row r="56" spans="1:3" x14ac:dyDescent="0.25">
      <c r="A56" s="58" t="s">
        <v>344</v>
      </c>
      <c r="C56" t="s">
        <v>345</v>
      </c>
    </row>
    <row r="57" spans="1:3" x14ac:dyDescent="0.25">
      <c r="A57" s="58" t="s">
        <v>346</v>
      </c>
      <c r="C57" t="s">
        <v>347</v>
      </c>
    </row>
    <row r="58" spans="1:3" x14ac:dyDescent="0.25">
      <c r="A58" s="58" t="s">
        <v>348</v>
      </c>
      <c r="C58" t="s">
        <v>349</v>
      </c>
    </row>
    <row r="59" spans="1:3" x14ac:dyDescent="0.25">
      <c r="A59" s="58" t="s">
        <v>350</v>
      </c>
      <c r="C59" t="s">
        <v>351</v>
      </c>
    </row>
    <row r="60" spans="1:3" x14ac:dyDescent="0.25">
      <c r="A60" s="58" t="s">
        <v>352</v>
      </c>
      <c r="C60" t="s">
        <v>353</v>
      </c>
    </row>
    <row r="61" spans="1:3" x14ac:dyDescent="0.25">
      <c r="A61" s="58" t="s">
        <v>354</v>
      </c>
      <c r="C61" t="s">
        <v>355</v>
      </c>
    </row>
    <row r="62" spans="1:3" x14ac:dyDescent="0.25">
      <c r="A62" s="58" t="s">
        <v>356</v>
      </c>
      <c r="C62" t="s">
        <v>357</v>
      </c>
    </row>
    <row r="63" spans="1:3" x14ac:dyDescent="0.25">
      <c r="A63" s="58" t="s">
        <v>358</v>
      </c>
      <c r="C63" t="s">
        <v>359</v>
      </c>
    </row>
    <row r="64" spans="1:3" x14ac:dyDescent="0.25">
      <c r="A64" s="58" t="s">
        <v>360</v>
      </c>
      <c r="C64" t="s">
        <v>361</v>
      </c>
    </row>
    <row r="65" spans="1:3" x14ac:dyDescent="0.25">
      <c r="A65" s="58" t="s">
        <v>362</v>
      </c>
      <c r="C65" t="s">
        <v>363</v>
      </c>
    </row>
    <row r="66" spans="1:3" x14ac:dyDescent="0.25">
      <c r="A66" s="58" t="s">
        <v>364</v>
      </c>
      <c r="C66" t="s">
        <v>365</v>
      </c>
    </row>
    <row r="67" spans="1:3" x14ac:dyDescent="0.25">
      <c r="A67" s="58" t="s">
        <v>366</v>
      </c>
      <c r="C67" t="s">
        <v>367</v>
      </c>
    </row>
    <row r="68" spans="1:3" x14ac:dyDescent="0.25">
      <c r="A68" s="58" t="s">
        <v>368</v>
      </c>
      <c r="C68" t="s">
        <v>369</v>
      </c>
    </row>
    <row r="69" spans="1:3" x14ac:dyDescent="0.25">
      <c r="A69" s="58" t="s">
        <v>370</v>
      </c>
      <c r="C69" t="s">
        <v>371</v>
      </c>
    </row>
    <row r="70" spans="1:3" x14ac:dyDescent="0.25">
      <c r="A70" s="58" t="s">
        <v>372</v>
      </c>
      <c r="C70" t="s">
        <v>373</v>
      </c>
    </row>
    <row r="71" spans="1:3" x14ac:dyDescent="0.25">
      <c r="A71" s="58" t="s">
        <v>374</v>
      </c>
      <c r="C71" t="s">
        <v>375</v>
      </c>
    </row>
    <row r="72" spans="1:3" x14ac:dyDescent="0.25">
      <c r="A72" s="58" t="s">
        <v>376</v>
      </c>
      <c r="C72" t="s">
        <v>377</v>
      </c>
    </row>
    <row r="73" spans="1:3" x14ac:dyDescent="0.25">
      <c r="A73" s="58" t="s">
        <v>378</v>
      </c>
      <c r="C73" t="s">
        <v>379</v>
      </c>
    </row>
    <row r="74" spans="1:3" x14ac:dyDescent="0.25">
      <c r="A74" s="58" t="s">
        <v>380</v>
      </c>
      <c r="C74" t="s">
        <v>381</v>
      </c>
    </row>
    <row r="75" spans="1:3" x14ac:dyDescent="0.25">
      <c r="A75" s="58" t="s">
        <v>382</v>
      </c>
      <c r="C75" t="s">
        <v>383</v>
      </c>
    </row>
    <row r="76" spans="1:3" x14ac:dyDescent="0.25">
      <c r="A76" s="58" t="s">
        <v>384</v>
      </c>
      <c r="C76" t="s">
        <v>385</v>
      </c>
    </row>
    <row r="77" spans="1:3" x14ac:dyDescent="0.25">
      <c r="A77" s="58" t="s">
        <v>386</v>
      </c>
      <c r="C77" t="s">
        <v>387</v>
      </c>
    </row>
    <row r="78" spans="1:3" x14ac:dyDescent="0.25">
      <c r="A78" s="58" t="s">
        <v>388</v>
      </c>
      <c r="C78" t="s">
        <v>389</v>
      </c>
    </row>
    <row r="79" spans="1:3" x14ac:dyDescent="0.25">
      <c r="A79" s="58" t="s">
        <v>390</v>
      </c>
      <c r="C79" t="s">
        <v>391</v>
      </c>
    </row>
    <row r="80" spans="1:3" x14ac:dyDescent="0.25">
      <c r="A80" s="58" t="s">
        <v>392</v>
      </c>
      <c r="C80" t="s">
        <v>393</v>
      </c>
    </row>
    <row r="81" spans="1:3" x14ac:dyDescent="0.25">
      <c r="A81" s="58" t="s">
        <v>394</v>
      </c>
      <c r="C81" t="s">
        <v>395</v>
      </c>
    </row>
    <row r="82" spans="1:3" x14ac:dyDescent="0.25">
      <c r="A82" s="58" t="s">
        <v>396</v>
      </c>
      <c r="C82" t="s">
        <v>397</v>
      </c>
    </row>
    <row r="83" spans="1:3" x14ac:dyDescent="0.25">
      <c r="A83" s="58" t="s">
        <v>398</v>
      </c>
      <c r="C83" t="s">
        <v>399</v>
      </c>
    </row>
    <row r="84" spans="1:3" x14ac:dyDescent="0.25">
      <c r="A84" s="59" t="s">
        <v>400</v>
      </c>
      <c r="C84" t="s">
        <v>401</v>
      </c>
    </row>
    <row r="85" spans="1:3" x14ac:dyDescent="0.25">
      <c r="A85" s="58" t="s">
        <v>402</v>
      </c>
      <c r="C85" t="s">
        <v>403</v>
      </c>
    </row>
    <row r="86" spans="1:3" x14ac:dyDescent="0.25">
      <c r="A86" s="58" t="s">
        <v>404</v>
      </c>
    </row>
    <row r="87" spans="1:3" x14ac:dyDescent="0.25">
      <c r="A87" s="58" t="s">
        <v>405</v>
      </c>
    </row>
    <row r="88" spans="1:3" x14ac:dyDescent="0.25">
      <c r="A88" s="58" t="s">
        <v>406</v>
      </c>
    </row>
    <row r="89" spans="1:3" x14ac:dyDescent="0.25">
      <c r="A89" s="58" t="s">
        <v>407</v>
      </c>
    </row>
    <row r="90" spans="1:3" x14ac:dyDescent="0.25">
      <c r="A90" s="58" t="s">
        <v>408</v>
      </c>
    </row>
    <row r="91" spans="1:3" x14ac:dyDescent="0.25">
      <c r="A91" s="58" t="s">
        <v>409</v>
      </c>
    </row>
    <row r="92" spans="1:3" x14ac:dyDescent="0.25">
      <c r="A92" s="58" t="s">
        <v>410</v>
      </c>
    </row>
    <row r="93" spans="1:3" x14ac:dyDescent="0.25">
      <c r="A93" s="58" t="s">
        <v>411</v>
      </c>
    </row>
    <row r="94" spans="1:3" x14ac:dyDescent="0.25">
      <c r="A94" s="58" t="s">
        <v>412</v>
      </c>
    </row>
    <row r="95" spans="1:3" x14ac:dyDescent="0.25">
      <c r="A95" s="58" t="s">
        <v>413</v>
      </c>
    </row>
    <row r="96" spans="1:3" x14ac:dyDescent="0.25">
      <c r="A96" s="58" t="s">
        <v>414</v>
      </c>
    </row>
    <row r="97" spans="1:1" x14ac:dyDescent="0.25">
      <c r="A97" s="58" t="s">
        <v>415</v>
      </c>
    </row>
    <row r="98" spans="1:1" x14ac:dyDescent="0.25">
      <c r="A98" s="58" t="s">
        <v>416</v>
      </c>
    </row>
    <row r="99" spans="1:1" x14ac:dyDescent="0.25">
      <c r="A99" s="58" t="s">
        <v>417</v>
      </c>
    </row>
    <row r="100" spans="1:1" x14ac:dyDescent="0.25">
      <c r="A100" s="58" t="s">
        <v>418</v>
      </c>
    </row>
    <row r="101" spans="1:1" x14ac:dyDescent="0.25">
      <c r="A101" s="58" t="s">
        <v>419</v>
      </c>
    </row>
    <row r="102" spans="1:1" x14ac:dyDescent="0.25">
      <c r="A102" s="58" t="s">
        <v>420</v>
      </c>
    </row>
    <row r="103" spans="1:1" x14ac:dyDescent="0.25">
      <c r="A103" s="58" t="s">
        <v>421</v>
      </c>
    </row>
    <row r="104" spans="1:1" x14ac:dyDescent="0.25">
      <c r="A104" s="58" t="s">
        <v>153</v>
      </c>
    </row>
    <row r="105" spans="1:1" x14ac:dyDescent="0.25">
      <c r="A105" s="58" t="s">
        <v>422</v>
      </c>
    </row>
    <row r="106" spans="1:1" x14ac:dyDescent="0.25">
      <c r="A106" s="58" t="s">
        <v>423</v>
      </c>
    </row>
    <row r="107" spans="1:1" x14ac:dyDescent="0.25">
      <c r="A107" s="58" t="s">
        <v>424</v>
      </c>
    </row>
    <row r="108" spans="1:1" x14ac:dyDescent="0.25">
      <c r="A108" s="58" t="s">
        <v>425</v>
      </c>
    </row>
    <row r="109" spans="1:1" x14ac:dyDescent="0.25">
      <c r="A109" s="58" t="s">
        <v>426</v>
      </c>
    </row>
    <row r="110" spans="1:1" x14ac:dyDescent="0.25">
      <c r="A110" s="58" t="s">
        <v>427</v>
      </c>
    </row>
    <row r="111" spans="1:1" x14ac:dyDescent="0.25">
      <c r="A111" s="58" t="s">
        <v>428</v>
      </c>
    </row>
    <row r="112" spans="1:1" x14ac:dyDescent="0.25">
      <c r="A112" s="58" t="s">
        <v>429</v>
      </c>
    </row>
    <row r="113" spans="1:1" x14ac:dyDescent="0.25">
      <c r="A113" s="58" t="s">
        <v>430</v>
      </c>
    </row>
    <row r="114" spans="1:1" x14ac:dyDescent="0.25">
      <c r="A114" s="58" t="s">
        <v>431</v>
      </c>
    </row>
    <row r="115" spans="1:1" x14ac:dyDescent="0.25">
      <c r="A115" s="58" t="s">
        <v>432</v>
      </c>
    </row>
    <row r="116" spans="1:1" x14ac:dyDescent="0.25">
      <c r="A116" s="58" t="s">
        <v>433</v>
      </c>
    </row>
    <row r="117" spans="1:1" x14ac:dyDescent="0.25">
      <c r="A117" s="58" t="s">
        <v>434</v>
      </c>
    </row>
    <row r="118" spans="1:1" x14ac:dyDescent="0.25">
      <c r="A118" s="58" t="s">
        <v>435</v>
      </c>
    </row>
    <row r="119" spans="1:1" x14ac:dyDescent="0.25">
      <c r="A119" s="58" t="s">
        <v>436</v>
      </c>
    </row>
    <row r="120" spans="1:1" x14ac:dyDescent="0.25">
      <c r="A120" s="58" t="s">
        <v>437</v>
      </c>
    </row>
    <row r="121" spans="1:1" x14ac:dyDescent="0.25">
      <c r="A121" s="58" t="s">
        <v>438</v>
      </c>
    </row>
    <row r="122" spans="1:1" x14ac:dyDescent="0.25">
      <c r="A122" s="58" t="s">
        <v>439</v>
      </c>
    </row>
    <row r="123" spans="1:1" x14ac:dyDescent="0.25">
      <c r="A123" s="58" t="s">
        <v>440</v>
      </c>
    </row>
    <row r="124" spans="1:1" x14ac:dyDescent="0.25">
      <c r="A124" s="58" t="s">
        <v>441</v>
      </c>
    </row>
    <row r="125" spans="1:1" x14ac:dyDescent="0.25">
      <c r="A125" s="58" t="s">
        <v>442</v>
      </c>
    </row>
    <row r="126" spans="1:1" x14ac:dyDescent="0.25">
      <c r="A126" s="58" t="s">
        <v>443</v>
      </c>
    </row>
    <row r="127" spans="1:1" x14ac:dyDescent="0.25">
      <c r="A127" s="58" t="s">
        <v>444</v>
      </c>
    </row>
    <row r="128" spans="1:1" x14ac:dyDescent="0.25">
      <c r="A128" s="58" t="s">
        <v>445</v>
      </c>
    </row>
    <row r="129" spans="1:1" x14ac:dyDescent="0.25">
      <c r="A129" s="58" t="s">
        <v>446</v>
      </c>
    </row>
    <row r="130" spans="1:1" x14ac:dyDescent="0.25">
      <c r="A130" s="58" t="s">
        <v>447</v>
      </c>
    </row>
    <row r="131" spans="1:1" x14ac:dyDescent="0.25">
      <c r="A131" s="58" t="s">
        <v>448</v>
      </c>
    </row>
    <row r="132" spans="1:1" x14ac:dyDescent="0.25">
      <c r="A132" s="58" t="s">
        <v>449</v>
      </c>
    </row>
    <row r="133" spans="1:1" x14ac:dyDescent="0.25">
      <c r="A133" s="58" t="s">
        <v>450</v>
      </c>
    </row>
    <row r="134" spans="1:1" x14ac:dyDescent="0.25">
      <c r="A134" s="58" t="s">
        <v>451</v>
      </c>
    </row>
    <row r="135" spans="1:1" x14ac:dyDescent="0.25">
      <c r="A135" s="58" t="s">
        <v>452</v>
      </c>
    </row>
    <row r="136" spans="1:1" x14ac:dyDescent="0.25">
      <c r="A136" s="58" t="s">
        <v>453</v>
      </c>
    </row>
    <row r="137" spans="1:1" x14ac:dyDescent="0.25">
      <c r="A137" s="58" t="s">
        <v>454</v>
      </c>
    </row>
    <row r="138" spans="1:1" x14ac:dyDescent="0.25">
      <c r="A138" s="58" t="s">
        <v>455</v>
      </c>
    </row>
    <row r="139" spans="1:1" x14ac:dyDescent="0.25">
      <c r="A139" s="58" t="s">
        <v>456</v>
      </c>
    </row>
    <row r="140" spans="1:1" x14ac:dyDescent="0.25">
      <c r="A140" s="58" t="s">
        <v>457</v>
      </c>
    </row>
    <row r="141" spans="1:1" x14ac:dyDescent="0.25">
      <c r="A141" s="58" t="s">
        <v>458</v>
      </c>
    </row>
    <row r="142" spans="1:1" x14ac:dyDescent="0.25">
      <c r="A142" s="58" t="s">
        <v>459</v>
      </c>
    </row>
    <row r="143" spans="1:1" x14ac:dyDescent="0.25">
      <c r="A143" s="58" t="s">
        <v>460</v>
      </c>
    </row>
    <row r="144" spans="1:1" x14ac:dyDescent="0.25">
      <c r="A144" s="58" t="s">
        <v>461</v>
      </c>
    </row>
    <row r="145" spans="1:1" x14ac:dyDescent="0.25">
      <c r="A145" s="58" t="s">
        <v>462</v>
      </c>
    </row>
    <row r="146" spans="1:1" x14ac:dyDescent="0.25">
      <c r="A146" s="58" t="s">
        <v>463</v>
      </c>
    </row>
    <row r="147" spans="1:1" x14ac:dyDescent="0.25">
      <c r="A147" s="58" t="s">
        <v>464</v>
      </c>
    </row>
    <row r="148" spans="1:1" x14ac:dyDescent="0.25">
      <c r="A148" s="58" t="s">
        <v>465</v>
      </c>
    </row>
    <row r="149" spans="1:1" x14ac:dyDescent="0.25">
      <c r="A149" s="58" t="s">
        <v>466</v>
      </c>
    </row>
    <row r="150" spans="1:1" x14ac:dyDescent="0.25">
      <c r="A150" s="58" t="s">
        <v>467</v>
      </c>
    </row>
    <row r="151" spans="1:1" x14ac:dyDescent="0.25">
      <c r="A151" s="58" t="s">
        <v>468</v>
      </c>
    </row>
    <row r="152" spans="1:1" x14ac:dyDescent="0.25">
      <c r="A152" s="58" t="s">
        <v>469</v>
      </c>
    </row>
    <row r="153" spans="1:1" x14ac:dyDescent="0.25">
      <c r="A153" s="58" t="s">
        <v>470</v>
      </c>
    </row>
    <row r="154" spans="1:1" x14ac:dyDescent="0.25">
      <c r="A154" s="58" t="s">
        <v>471</v>
      </c>
    </row>
    <row r="155" spans="1:1" x14ac:dyDescent="0.25">
      <c r="A155" s="58" t="s">
        <v>472</v>
      </c>
    </row>
    <row r="156" spans="1:1" x14ac:dyDescent="0.25">
      <c r="A156" s="58" t="s">
        <v>473</v>
      </c>
    </row>
    <row r="157" spans="1:1" x14ac:dyDescent="0.25">
      <c r="A157" s="58" t="s">
        <v>474</v>
      </c>
    </row>
    <row r="158" spans="1:1" x14ac:dyDescent="0.25">
      <c r="A158" s="58" t="s">
        <v>475</v>
      </c>
    </row>
    <row r="159" spans="1:1" x14ac:dyDescent="0.25">
      <c r="A159" s="58" t="s">
        <v>476</v>
      </c>
    </row>
    <row r="160" spans="1:1" x14ac:dyDescent="0.25">
      <c r="A160" s="58" t="s">
        <v>477</v>
      </c>
    </row>
    <row r="161" spans="1:1" x14ac:dyDescent="0.25">
      <c r="A161" s="58" t="s">
        <v>478</v>
      </c>
    </row>
    <row r="162" spans="1:1" x14ac:dyDescent="0.25">
      <c r="A162" s="58" t="s">
        <v>479</v>
      </c>
    </row>
    <row r="163" spans="1:1" x14ac:dyDescent="0.25">
      <c r="A163" s="58" t="s">
        <v>480</v>
      </c>
    </row>
    <row r="164" spans="1:1" x14ac:dyDescent="0.25">
      <c r="A164" s="58" t="s">
        <v>481</v>
      </c>
    </row>
    <row r="165" spans="1:1" x14ac:dyDescent="0.25">
      <c r="A165" s="58" t="s">
        <v>482</v>
      </c>
    </row>
    <row r="166" spans="1:1" x14ac:dyDescent="0.25">
      <c r="A166" s="58" t="s">
        <v>483</v>
      </c>
    </row>
    <row r="167" spans="1:1" x14ac:dyDescent="0.25">
      <c r="A167" s="58" t="s">
        <v>484</v>
      </c>
    </row>
    <row r="168" spans="1:1" x14ac:dyDescent="0.25">
      <c r="A168" s="58" t="s">
        <v>485</v>
      </c>
    </row>
    <row r="169" spans="1:1" x14ac:dyDescent="0.25">
      <c r="A169" s="58" t="s">
        <v>486</v>
      </c>
    </row>
    <row r="170" spans="1:1" x14ac:dyDescent="0.25">
      <c r="A170" s="58" t="s">
        <v>487</v>
      </c>
    </row>
    <row r="171" spans="1:1" x14ac:dyDescent="0.25">
      <c r="A171" s="58" t="s">
        <v>488</v>
      </c>
    </row>
    <row r="172" spans="1:1" x14ac:dyDescent="0.25">
      <c r="A172" s="58" t="s">
        <v>489</v>
      </c>
    </row>
    <row r="173" spans="1:1" x14ac:dyDescent="0.25">
      <c r="A173" s="58" t="s">
        <v>490</v>
      </c>
    </row>
    <row r="174" spans="1:1" x14ac:dyDescent="0.25">
      <c r="A174" s="58" t="s">
        <v>491</v>
      </c>
    </row>
    <row r="175" spans="1:1" x14ac:dyDescent="0.25">
      <c r="A175" s="58" t="s">
        <v>492</v>
      </c>
    </row>
    <row r="176" spans="1:1" x14ac:dyDescent="0.25">
      <c r="A176" s="58" t="s">
        <v>493</v>
      </c>
    </row>
    <row r="177" spans="1:1" x14ac:dyDescent="0.25">
      <c r="A177" s="58" t="s">
        <v>494</v>
      </c>
    </row>
    <row r="178" spans="1:1" x14ac:dyDescent="0.25">
      <c r="A178" s="58" t="s">
        <v>495</v>
      </c>
    </row>
    <row r="179" spans="1:1" x14ac:dyDescent="0.25">
      <c r="A179" s="58" t="s">
        <v>496</v>
      </c>
    </row>
    <row r="180" spans="1:1" x14ac:dyDescent="0.25">
      <c r="A180" s="58" t="s">
        <v>497</v>
      </c>
    </row>
    <row r="181" spans="1:1" x14ac:dyDescent="0.25">
      <c r="A181" s="58" t="s">
        <v>498</v>
      </c>
    </row>
    <row r="182" spans="1:1" x14ac:dyDescent="0.25">
      <c r="A182" s="58" t="s">
        <v>499</v>
      </c>
    </row>
    <row r="183" spans="1:1" x14ac:dyDescent="0.25">
      <c r="A183" s="58" t="s">
        <v>500</v>
      </c>
    </row>
    <row r="184" spans="1:1" x14ac:dyDescent="0.25">
      <c r="A184" s="58" t="s">
        <v>501</v>
      </c>
    </row>
    <row r="185" spans="1:1" x14ac:dyDescent="0.25">
      <c r="A185" s="58" t="s">
        <v>502</v>
      </c>
    </row>
    <row r="186" spans="1:1" x14ac:dyDescent="0.25">
      <c r="A186" s="58" t="s">
        <v>503</v>
      </c>
    </row>
    <row r="187" spans="1:1" x14ac:dyDescent="0.25">
      <c r="A187" s="58" t="s">
        <v>504</v>
      </c>
    </row>
    <row r="188" spans="1:1" x14ac:dyDescent="0.25">
      <c r="A188" s="58" t="s">
        <v>505</v>
      </c>
    </row>
    <row r="189" spans="1:1" x14ac:dyDescent="0.25">
      <c r="A189" s="58" t="s">
        <v>506</v>
      </c>
    </row>
    <row r="190" spans="1:1" x14ac:dyDescent="0.25">
      <c r="A190" s="58" t="s">
        <v>507</v>
      </c>
    </row>
    <row r="191" spans="1:1" x14ac:dyDescent="0.25">
      <c r="A191" s="58" t="s">
        <v>508</v>
      </c>
    </row>
    <row r="192" spans="1:1" x14ac:dyDescent="0.25">
      <c r="A192" s="58" t="s">
        <v>509</v>
      </c>
    </row>
    <row r="193" spans="1:1" x14ac:dyDescent="0.25">
      <c r="A193" s="58" t="s">
        <v>510</v>
      </c>
    </row>
    <row r="194" spans="1:1" x14ac:dyDescent="0.25">
      <c r="A194" s="58" t="s">
        <v>511</v>
      </c>
    </row>
    <row r="195" spans="1:1" x14ac:dyDescent="0.25">
      <c r="A195" s="58" t="s">
        <v>512</v>
      </c>
    </row>
    <row r="196" spans="1:1" x14ac:dyDescent="0.25">
      <c r="A196" s="58" t="s">
        <v>513</v>
      </c>
    </row>
    <row r="197" spans="1:1" x14ac:dyDescent="0.25">
      <c r="A197" s="58" t="s">
        <v>514</v>
      </c>
    </row>
    <row r="198" spans="1:1" x14ac:dyDescent="0.25">
      <c r="A198" s="58" t="s">
        <v>515</v>
      </c>
    </row>
    <row r="199" spans="1:1" x14ac:dyDescent="0.25">
      <c r="A199" s="58" t="s">
        <v>516</v>
      </c>
    </row>
    <row r="200" spans="1:1" x14ac:dyDescent="0.25">
      <c r="A200" s="58" t="s">
        <v>517</v>
      </c>
    </row>
    <row r="201" spans="1:1" x14ac:dyDescent="0.25">
      <c r="A201" s="58" t="s">
        <v>518</v>
      </c>
    </row>
    <row r="202" spans="1:1" x14ac:dyDescent="0.25">
      <c r="A202" s="58" t="s">
        <v>519</v>
      </c>
    </row>
    <row r="203" spans="1:1" x14ac:dyDescent="0.25">
      <c r="A203" s="58" t="s">
        <v>520</v>
      </c>
    </row>
    <row r="204" spans="1:1" x14ac:dyDescent="0.25">
      <c r="A204" s="58" t="s">
        <v>521</v>
      </c>
    </row>
    <row r="205" spans="1:1" x14ac:dyDescent="0.25">
      <c r="A205" s="58" t="s">
        <v>522</v>
      </c>
    </row>
    <row r="206" spans="1:1" x14ac:dyDescent="0.25">
      <c r="A206" s="58" t="s">
        <v>523</v>
      </c>
    </row>
    <row r="207" spans="1:1" x14ac:dyDescent="0.25">
      <c r="A207" s="58" t="s">
        <v>524</v>
      </c>
    </row>
    <row r="208" spans="1:1" x14ac:dyDescent="0.25">
      <c r="A208" s="58" t="s">
        <v>525</v>
      </c>
    </row>
    <row r="209" spans="1:1" x14ac:dyDescent="0.25">
      <c r="A209" s="58" t="s">
        <v>526</v>
      </c>
    </row>
    <row r="210" spans="1:1" x14ac:dyDescent="0.25">
      <c r="A210" s="58" t="s">
        <v>527</v>
      </c>
    </row>
    <row r="211" spans="1:1" x14ac:dyDescent="0.25">
      <c r="A211" s="58" t="s">
        <v>528</v>
      </c>
    </row>
    <row r="212" spans="1:1" x14ac:dyDescent="0.25">
      <c r="A212" s="58" t="s">
        <v>529</v>
      </c>
    </row>
    <row r="213" spans="1:1" x14ac:dyDescent="0.25">
      <c r="A213" s="58" t="s">
        <v>530</v>
      </c>
    </row>
    <row r="214" spans="1:1" x14ac:dyDescent="0.25">
      <c r="A214" s="58" t="s">
        <v>531</v>
      </c>
    </row>
    <row r="215" spans="1:1" x14ac:dyDescent="0.25">
      <c r="A215" s="58" t="s">
        <v>532</v>
      </c>
    </row>
    <row r="216" spans="1:1" x14ac:dyDescent="0.25">
      <c r="A216" s="58" t="s">
        <v>533</v>
      </c>
    </row>
    <row r="217" spans="1:1" x14ac:dyDescent="0.25">
      <c r="A217" s="58" t="s">
        <v>534</v>
      </c>
    </row>
    <row r="218" spans="1:1" x14ac:dyDescent="0.25">
      <c r="A218" s="58" t="s">
        <v>535</v>
      </c>
    </row>
    <row r="219" spans="1:1" x14ac:dyDescent="0.25">
      <c r="A219" s="58" t="s">
        <v>536</v>
      </c>
    </row>
    <row r="220" spans="1:1" x14ac:dyDescent="0.25">
      <c r="A220" s="58" t="s">
        <v>537</v>
      </c>
    </row>
    <row r="221" spans="1:1" x14ac:dyDescent="0.25">
      <c r="A221" s="58" t="s">
        <v>538</v>
      </c>
    </row>
    <row r="222" spans="1:1" x14ac:dyDescent="0.25">
      <c r="A222" s="58" t="s">
        <v>539</v>
      </c>
    </row>
    <row r="223" spans="1:1" x14ac:dyDescent="0.25">
      <c r="A223" s="58" t="s">
        <v>540</v>
      </c>
    </row>
    <row r="224" spans="1:1" x14ac:dyDescent="0.25">
      <c r="A224" s="58" t="s">
        <v>541</v>
      </c>
    </row>
    <row r="225" spans="1:1" x14ac:dyDescent="0.25">
      <c r="A225" s="58" t="s">
        <v>542</v>
      </c>
    </row>
    <row r="226" spans="1:1" x14ac:dyDescent="0.25">
      <c r="A226" s="58" t="s">
        <v>543</v>
      </c>
    </row>
    <row r="227" spans="1:1" x14ac:dyDescent="0.25">
      <c r="A227" s="58" t="s">
        <v>544</v>
      </c>
    </row>
  </sheetData>
  <hyperlinks>
    <hyperlink ref="A25" r:id="rId1" display="http://www.state.gov/p/sca/ci/af/" xr:uid="{00000000-0004-0000-0600-000000000000}"/>
    <hyperlink ref="A26" r:id="rId2" display="http://www.state.gov/p/eur/ci/al/" xr:uid="{00000000-0004-0000-0600-000001000000}"/>
    <hyperlink ref="A27" r:id="rId3" display="http://www.state.gov/p/nea/ci/ag" xr:uid="{00000000-0004-0000-0600-000002000000}"/>
    <hyperlink ref="A28" r:id="rId4" display="http://www.state.gov/p/eur/ci/an/" xr:uid="{00000000-0004-0000-0600-000003000000}"/>
    <hyperlink ref="A29" r:id="rId5" display="http://www.state.gov/p/af/ci/ao/" xr:uid="{00000000-0004-0000-0600-000004000000}"/>
    <hyperlink ref="A30" r:id="rId6" display="http://www.state.gov/p/wha/ci/ac/" xr:uid="{00000000-0004-0000-0600-000005000000}"/>
    <hyperlink ref="A31" r:id="rId7" display="http://www.state.gov/p/wha/ci/ar/" xr:uid="{00000000-0004-0000-0600-000006000000}"/>
    <hyperlink ref="A32" r:id="rId8" display="http://www.state.gov/p/eur/ci/am/" xr:uid="{00000000-0004-0000-0600-000007000000}"/>
    <hyperlink ref="A33" r:id="rId9" display="http://www.state.gov/p/eur/ci/nl/" xr:uid="{00000000-0004-0000-0600-000008000000}"/>
    <hyperlink ref="A34" r:id="rId10" display="http://www.state.gov/p/eap/ci/as/" xr:uid="{00000000-0004-0000-0600-000009000000}"/>
    <hyperlink ref="A35" r:id="rId11" display="http://www.state.gov/p/eur/ci/au/" xr:uid="{00000000-0004-0000-0600-00000A000000}"/>
    <hyperlink ref="A36" r:id="rId12" display="http://www.state.gov/p/eur/ci/aj/" xr:uid="{00000000-0004-0000-0600-00000B000000}"/>
    <hyperlink ref="A37" r:id="rId13" display="http://www.state.gov/p/wha/ci/bf/" xr:uid="{00000000-0004-0000-0600-00000C000000}"/>
    <hyperlink ref="A38" r:id="rId14" display="http://www.state.gov/p/nea/ci/ba" xr:uid="{00000000-0004-0000-0600-00000D000000}"/>
    <hyperlink ref="A39" r:id="rId15" display="http://www.state.gov/p/sca/ci/bg/" xr:uid="{00000000-0004-0000-0600-00000E000000}"/>
    <hyperlink ref="A40" r:id="rId16" display="http://www.state.gov/p/wha/ci/bb/" xr:uid="{00000000-0004-0000-0600-00000F000000}"/>
    <hyperlink ref="A41" r:id="rId17" display="http://www.state.gov/p/eur/ci/bo/" xr:uid="{00000000-0004-0000-0600-000010000000}"/>
    <hyperlink ref="A42" r:id="rId18" display="http://www.state.gov/p/eur/ci/be/" xr:uid="{00000000-0004-0000-0600-000011000000}"/>
    <hyperlink ref="A43" r:id="rId19" display="http://www.state.gov/p/wha/ci/bh/" xr:uid="{00000000-0004-0000-0600-000012000000}"/>
    <hyperlink ref="A44" r:id="rId20" display="http://www.state.gov/p/af/ci/bn/" xr:uid="{00000000-0004-0000-0600-000013000000}"/>
    <hyperlink ref="A45" r:id="rId21" display="http://www.state.gov/p/sca/ci/bt/" xr:uid="{00000000-0004-0000-0600-000014000000}"/>
    <hyperlink ref="A46" r:id="rId22" display="http://www.state.gov/p/wha/ci/bl/" xr:uid="{00000000-0004-0000-0600-000015000000}"/>
    <hyperlink ref="A47" r:id="rId23" display="http://www.state.gov/p/eur/ci/bk/" xr:uid="{00000000-0004-0000-0600-000016000000}"/>
    <hyperlink ref="A48" r:id="rId24" display="http://www.state.gov/p/af/ci/bc/" xr:uid="{00000000-0004-0000-0600-000017000000}"/>
    <hyperlink ref="A49" r:id="rId25" display="http://www.state.gov/p/wha/ci/br/" xr:uid="{00000000-0004-0000-0600-000018000000}"/>
    <hyperlink ref="A50" r:id="rId26" display="http://www.state.gov/p/eap/ci/bx/" xr:uid="{00000000-0004-0000-0600-000019000000}"/>
    <hyperlink ref="A51" r:id="rId27" display="http://www.state.gov/p/eur/ci/bu/" xr:uid="{00000000-0004-0000-0600-00001A000000}"/>
    <hyperlink ref="A52" r:id="rId28" display="http://www.state.gov/p/af/ci/uv/" xr:uid="{00000000-0004-0000-0600-00001B000000}"/>
    <hyperlink ref="A53" r:id="rId29" display="http://www.state.gov/p/eap/ci/bm/" xr:uid="{00000000-0004-0000-0600-00001C000000}"/>
    <hyperlink ref="A54" r:id="rId30" display="http://www.state.gov/p/af/ci/by/" xr:uid="{00000000-0004-0000-0600-00001D000000}"/>
    <hyperlink ref="A55" r:id="rId31" display="http://www.state.gov/p/eap/ci/cb/" xr:uid="{00000000-0004-0000-0600-00001E000000}"/>
    <hyperlink ref="A56" r:id="rId32" display="http://www.state.gov/p/af/ci/cm/" xr:uid="{00000000-0004-0000-0600-00001F000000}"/>
    <hyperlink ref="A57" r:id="rId33" display="http://www.state.gov/p/wha/ci/ca/" xr:uid="{00000000-0004-0000-0600-000020000000}"/>
    <hyperlink ref="A58" r:id="rId34" display="http://www.state.gov/p/af/ci/cv/" xr:uid="{00000000-0004-0000-0600-000021000000}"/>
    <hyperlink ref="A59" r:id="rId35" display="http://www.state.gov/p/af/ci/car/" xr:uid="{00000000-0004-0000-0600-000022000000}"/>
    <hyperlink ref="A60" r:id="rId36" display="http://www.state.gov/p/af/ci/cd/" xr:uid="{00000000-0004-0000-0600-000023000000}"/>
    <hyperlink ref="A61" r:id="rId37" display="http://www.state.gov/p/wha/ci/ci/" xr:uid="{00000000-0004-0000-0600-000024000000}"/>
    <hyperlink ref="A62" r:id="rId38" display="http://www.state.gov/p/eap/ci/ch/" xr:uid="{00000000-0004-0000-0600-000025000000}"/>
    <hyperlink ref="A63" r:id="rId39" display="http://www.state.gov/p/wha/ci/co/" xr:uid="{00000000-0004-0000-0600-000026000000}"/>
    <hyperlink ref="A64" r:id="rId40" display="http://www.state.gov/p/af/ci/cn/" xr:uid="{00000000-0004-0000-0600-000027000000}"/>
    <hyperlink ref="A65" r:id="rId41" display="http://www.state.gov/p/af/ci/cg/" xr:uid="{00000000-0004-0000-0600-000028000000}"/>
    <hyperlink ref="A66" r:id="rId42" display="http://www.state.gov/p/af/ci/cf/" xr:uid="{00000000-0004-0000-0600-000029000000}"/>
    <hyperlink ref="A67" r:id="rId43" display="http://www.state.gov/p/wha/ci/cs/" xr:uid="{00000000-0004-0000-0600-00002A000000}"/>
    <hyperlink ref="A68" r:id="rId44" display="http://www.state.gov/p/af/ci/iv/" xr:uid="{00000000-0004-0000-0600-00002B000000}"/>
    <hyperlink ref="A69" r:id="rId45" display="http://www.state.gov/p/eur/ci/hr/" xr:uid="{00000000-0004-0000-0600-00002C000000}"/>
    <hyperlink ref="A70" r:id="rId46" display="http://www.state.gov/p/wha/ci/cu/" xr:uid="{00000000-0004-0000-0600-00002D000000}"/>
    <hyperlink ref="A71" r:id="rId47" display="http://www.state.gov/p/eur/ci/nl/" xr:uid="{00000000-0004-0000-0600-00002E000000}"/>
    <hyperlink ref="A72" r:id="rId48" display="http://www.state.gov/p/eur/ci/cy/" xr:uid="{00000000-0004-0000-0600-00002F000000}"/>
    <hyperlink ref="A73" r:id="rId49" display="http://www.state.gov/p/eur/ci/ez/" xr:uid="{00000000-0004-0000-0600-000030000000}"/>
    <hyperlink ref="A74" r:id="rId50" display="http://www.state.gov/p/eur/ci/da/" xr:uid="{00000000-0004-0000-0600-000031000000}"/>
    <hyperlink ref="A75" r:id="rId51" display="http://www.state.gov/p/af/ci/dj/" xr:uid="{00000000-0004-0000-0600-000032000000}"/>
    <hyperlink ref="A76" r:id="rId52" display="http://www.state.gov/p/wha/ci/do/" xr:uid="{00000000-0004-0000-0600-000033000000}"/>
    <hyperlink ref="A77" r:id="rId53" display="http://www.state.gov/p/wha/ci/dr/" xr:uid="{00000000-0004-0000-0600-000034000000}"/>
    <hyperlink ref="A78" r:id="rId54" display="http://www.state.gov/p/wha/ci/ec/" xr:uid="{00000000-0004-0000-0600-000035000000}"/>
    <hyperlink ref="A79" r:id="rId55" display="http://www.state.gov/p/nea/ci/eg" xr:uid="{00000000-0004-0000-0600-000036000000}"/>
    <hyperlink ref="A80" r:id="rId56" display="http://www.state.gov/p/wha/ci/es/" xr:uid="{00000000-0004-0000-0600-000037000000}"/>
    <hyperlink ref="A81" r:id="rId57" display="http://www.state.gov/p/af/ci/ek/" xr:uid="{00000000-0004-0000-0600-000038000000}"/>
    <hyperlink ref="A82" r:id="rId58" display="http://www.state.gov/p/af/ci/er/" xr:uid="{00000000-0004-0000-0600-000039000000}"/>
    <hyperlink ref="A83" r:id="rId59" display="http://www.state.gov/p/eur/ci/en/" xr:uid="{00000000-0004-0000-0600-00003A000000}"/>
    <hyperlink ref="A84" r:id="rId60" display="http://www.state.gov/p/af/ci/et/" xr:uid="{00000000-0004-0000-0600-00003B000000}"/>
    <hyperlink ref="A85" r:id="rId61" display="http://www.state.gov/p/eap/ci/fj/" xr:uid="{00000000-0004-0000-0600-00003C000000}"/>
    <hyperlink ref="A86" r:id="rId62" display="http://www.state.gov/p/eur/ci/fi/" xr:uid="{00000000-0004-0000-0600-00003D000000}"/>
    <hyperlink ref="A87" r:id="rId63" display="http://www.state.gov/p/eur/ci/fr/" xr:uid="{00000000-0004-0000-0600-00003E000000}"/>
    <hyperlink ref="A88" r:id="rId64" display="http://www.state.gov/p/af/ci/gb/" xr:uid="{00000000-0004-0000-0600-00003F000000}"/>
    <hyperlink ref="A89" r:id="rId65" display="http://www.state.gov/p/af/ci/ga/" xr:uid="{00000000-0004-0000-0600-000040000000}"/>
    <hyperlink ref="A90" r:id="rId66" display="http://www.state.gov/p/eur/ci/gg/" xr:uid="{00000000-0004-0000-0600-000041000000}"/>
    <hyperlink ref="A91" r:id="rId67" display="http://www.state.gov/p/eur/ci/gm/" xr:uid="{00000000-0004-0000-0600-000042000000}"/>
    <hyperlink ref="A92" r:id="rId68" display="http://www.state.gov/p/af/ci/gh/" xr:uid="{00000000-0004-0000-0600-000043000000}"/>
    <hyperlink ref="A93" r:id="rId69" display="http://www.state.gov/p/eur/ci/gr/" xr:uid="{00000000-0004-0000-0600-000044000000}"/>
    <hyperlink ref="A94" r:id="rId70" display="http://www.state.gov/p/wha/ci/gj/" xr:uid="{00000000-0004-0000-0600-000045000000}"/>
    <hyperlink ref="A95" r:id="rId71" display="http://www.state.gov/p/wha/ci/gt/" xr:uid="{00000000-0004-0000-0600-000046000000}"/>
    <hyperlink ref="A96" r:id="rId72" display="http://www.state.gov/p/af/ci/gv/" xr:uid="{00000000-0004-0000-0600-000047000000}"/>
    <hyperlink ref="A97" r:id="rId73" display="http://www.state.gov/p/af/ci/pu/" xr:uid="{00000000-0004-0000-0600-000048000000}"/>
    <hyperlink ref="A98" r:id="rId74" display="http://www.state.gov/p/wha/ci/gy/" xr:uid="{00000000-0004-0000-0600-000049000000}"/>
    <hyperlink ref="A99" r:id="rId75" display="http://www.state.gov/p/wha/ci/ha/" xr:uid="{00000000-0004-0000-0600-00004A000000}"/>
    <hyperlink ref="A100" r:id="rId76" display="http://www.state.gov/p/wha/ci/ho/" xr:uid="{00000000-0004-0000-0600-00004B000000}"/>
    <hyperlink ref="A101" r:id="rId77" display="http://www.state.gov/p/eap/ci/ch/index.htm" xr:uid="{00000000-0004-0000-0600-00004C000000}"/>
    <hyperlink ref="A102" r:id="rId78" display="http://www.state.gov/p/eur/ci/hu/" xr:uid="{00000000-0004-0000-0600-00004D000000}"/>
    <hyperlink ref="A103" r:id="rId79" display="http://www.state.gov/p/eur/ci/ic/" xr:uid="{00000000-0004-0000-0600-00004E000000}"/>
    <hyperlink ref="A104" r:id="rId80" display="http://www.state.gov/p/sca/ci/in/" xr:uid="{00000000-0004-0000-0600-00004F000000}"/>
    <hyperlink ref="A105" r:id="rId81" display="http://www.state.gov/p/eap/ci/id/" xr:uid="{00000000-0004-0000-0600-000050000000}"/>
    <hyperlink ref="A106" r:id="rId82" display="http://www.state.gov/p/nea/ci/ir" xr:uid="{00000000-0004-0000-0600-000051000000}"/>
    <hyperlink ref="A107" r:id="rId83" display="http://www.state.gov/p/nea/ci/iz" xr:uid="{00000000-0004-0000-0600-000052000000}"/>
    <hyperlink ref="A108" r:id="rId84" display="http://www.state.gov/p/eur/ci/ei/" xr:uid="{00000000-0004-0000-0600-000053000000}"/>
    <hyperlink ref="A109" r:id="rId85" display="http://www.state.gov/p/nea/ci/is/" xr:uid="{00000000-0004-0000-0600-000054000000}"/>
    <hyperlink ref="A110" r:id="rId86" display="http://www.state.gov/p/eur/ci/it/" xr:uid="{00000000-0004-0000-0600-000055000000}"/>
    <hyperlink ref="A111" r:id="rId87" display="http://www.state.gov/p/wha/ci/jm/" xr:uid="{00000000-0004-0000-0600-000056000000}"/>
    <hyperlink ref="A112" r:id="rId88" display="http://www.state.gov/p/eap/ci/ja/" xr:uid="{00000000-0004-0000-0600-000057000000}"/>
    <hyperlink ref="A113" r:id="rId89" display="http://www.state.gov/p/nea/ci/jo/" xr:uid="{00000000-0004-0000-0600-000058000000}"/>
    <hyperlink ref="A114" r:id="rId90" display="http://www.state.gov/p/sca/ci/kz/" xr:uid="{00000000-0004-0000-0600-000059000000}"/>
    <hyperlink ref="A115" r:id="rId91" display="http://www.state.gov/p/af/ci/ke/" xr:uid="{00000000-0004-0000-0600-00005A000000}"/>
    <hyperlink ref="A116" r:id="rId92" display="http://www.state.gov/p/eap/ci/kr/" xr:uid="{00000000-0004-0000-0600-00005B000000}"/>
    <hyperlink ref="A117" r:id="rId93" display="http://www.state.gov/p/eap/ci/kn/" xr:uid="{00000000-0004-0000-0600-00005C000000}"/>
    <hyperlink ref="A118" r:id="rId94" display="http://www.state.gov/p/eap/ci/ks/" xr:uid="{00000000-0004-0000-0600-00005D000000}"/>
    <hyperlink ref="A119" r:id="rId95" display="http://www.state.gov/p/eur/ci/kv/" xr:uid="{00000000-0004-0000-0600-00005E000000}"/>
    <hyperlink ref="A120" r:id="rId96" display="http://www.state.gov/p/nea/ci/ku" xr:uid="{00000000-0004-0000-0600-00005F000000}"/>
    <hyperlink ref="A121" r:id="rId97" display="http://www.state.gov/p/sca/ci/kg/" xr:uid="{00000000-0004-0000-0600-000060000000}"/>
    <hyperlink ref="A122" r:id="rId98" display="http://www.state.gov/p/eap/ci/la/" xr:uid="{00000000-0004-0000-0600-000061000000}"/>
    <hyperlink ref="A123" r:id="rId99" display="http://www.state.gov/p/eur/ci/lg/" xr:uid="{00000000-0004-0000-0600-000062000000}"/>
    <hyperlink ref="A124" r:id="rId100" display="http://www.state.gov/p/nea/ci/le" xr:uid="{00000000-0004-0000-0600-000063000000}"/>
    <hyperlink ref="A125" r:id="rId101" display="http://www.state.gov/p/af/ci/lt/" xr:uid="{00000000-0004-0000-0600-000064000000}"/>
    <hyperlink ref="A126" r:id="rId102" display="http://www.state.gov/p/af/ci/li/" xr:uid="{00000000-0004-0000-0600-000065000000}"/>
    <hyperlink ref="A127" r:id="rId103" display="http://www.state.gov/p/nea/ci/ly" xr:uid="{00000000-0004-0000-0600-000066000000}"/>
    <hyperlink ref="A128" r:id="rId104" display="http://www.state.gov/p/eur/ci/ls/" xr:uid="{00000000-0004-0000-0600-000067000000}"/>
    <hyperlink ref="A129" r:id="rId105" display="http://www.state.gov/p/eur/ci/lh/" xr:uid="{00000000-0004-0000-0600-000068000000}"/>
    <hyperlink ref="A130" r:id="rId106" display="http://www.state.gov/p/eur/ci/lu/" xr:uid="{00000000-0004-0000-0600-000069000000}"/>
    <hyperlink ref="A131" r:id="rId107" display="http://www.state.gov/p/eap/ci/ch/index.htm" xr:uid="{00000000-0004-0000-0600-00006A000000}"/>
    <hyperlink ref="A132" r:id="rId108" display="http://www.state.gov/p/eur/ci/mk/" xr:uid="{00000000-0004-0000-0600-00006B000000}"/>
    <hyperlink ref="A133" r:id="rId109" display="http://www.state.gov/p/af/ci/ma/" xr:uid="{00000000-0004-0000-0600-00006C000000}"/>
    <hyperlink ref="A134" r:id="rId110" display="http://www.state.gov/p/af/ci/mi/" xr:uid="{00000000-0004-0000-0600-00006D000000}"/>
    <hyperlink ref="A135" r:id="rId111" display="http://www.state.gov/p/eap/ci/my/" xr:uid="{00000000-0004-0000-0600-00006E000000}"/>
    <hyperlink ref="A136" r:id="rId112" display="http://www.state.gov/p/sca/ci/mv/" xr:uid="{00000000-0004-0000-0600-00006F000000}"/>
    <hyperlink ref="A137" r:id="rId113" display="http://www.state.gov/p/af/ci/ml/" xr:uid="{00000000-0004-0000-0600-000070000000}"/>
    <hyperlink ref="A138" r:id="rId114" display="http://www.state.gov/p/eur/ci/mt/" xr:uid="{00000000-0004-0000-0600-000071000000}"/>
    <hyperlink ref="A139" r:id="rId115" display="http://www.state.gov/p/eap/ci/rm/" xr:uid="{00000000-0004-0000-0600-000072000000}"/>
    <hyperlink ref="A140" r:id="rId116" display="http://www.state.gov/p/af/ci/mr/" xr:uid="{00000000-0004-0000-0600-000073000000}"/>
    <hyperlink ref="A141" r:id="rId117" display="http://www.state.gov/p/af/ci/mp/" xr:uid="{00000000-0004-0000-0600-000074000000}"/>
    <hyperlink ref="A142" r:id="rId118" display="http://www.state.gov/p/wha/ci/mx/" xr:uid="{00000000-0004-0000-0600-000075000000}"/>
    <hyperlink ref="A143" r:id="rId119" display="http://www.state.gov/p/eap/ci/fm/" xr:uid="{00000000-0004-0000-0600-000076000000}"/>
    <hyperlink ref="A144" r:id="rId120" display="http://www.state.gov/p/eur/ci/md/" xr:uid="{00000000-0004-0000-0600-000077000000}"/>
    <hyperlink ref="A145" r:id="rId121" display="http://www.state.gov/p/eur/ci/mn/" xr:uid="{00000000-0004-0000-0600-000078000000}"/>
    <hyperlink ref="A146" r:id="rId122" display="http://www.state.gov/p/eap/ci/mg/" xr:uid="{00000000-0004-0000-0600-000079000000}"/>
    <hyperlink ref="A147" r:id="rId123" display="http://www.state.gov/p/eur/ci/mj/" xr:uid="{00000000-0004-0000-0600-00007A000000}"/>
    <hyperlink ref="A148" r:id="rId124" display="http://www.state.gov/p/nea/ci/mo" xr:uid="{00000000-0004-0000-0600-00007B000000}"/>
    <hyperlink ref="A149" r:id="rId125" display="http://www.state.gov/p/af/ci/mz/" xr:uid="{00000000-0004-0000-0600-00007C000000}"/>
    <hyperlink ref="A150" r:id="rId126" display="http://www.state.gov/p/af/ci/wa/" xr:uid="{00000000-0004-0000-0600-00007D000000}"/>
    <hyperlink ref="A151" r:id="rId127" display="http://www.state.gov/p/eap/ci/nr/" xr:uid="{00000000-0004-0000-0600-00007E000000}"/>
    <hyperlink ref="A152" r:id="rId128" display="http://www.state.gov/p/sca/ci/np/" xr:uid="{00000000-0004-0000-0600-00007F000000}"/>
    <hyperlink ref="A153" r:id="rId129" display="http://www.state.gov/p/eur/ci/nl/" xr:uid="{00000000-0004-0000-0600-000080000000}"/>
    <hyperlink ref="A154" r:id="rId130" display="http://www.state.gov/r/pa/ei/bgn/22528.htm" xr:uid="{00000000-0004-0000-0600-000081000000}"/>
    <hyperlink ref="A155" r:id="rId131" display="http://www.state.gov/p/eap/ci/nz/" xr:uid="{00000000-0004-0000-0600-000082000000}"/>
    <hyperlink ref="A156" r:id="rId132" display="http://www.state.gov/p/wha/ci/nu/" xr:uid="{00000000-0004-0000-0600-000083000000}"/>
    <hyperlink ref="A157" r:id="rId133" display="http://www.state.gov/p/af/ci/ng/" xr:uid="{00000000-0004-0000-0600-000084000000}"/>
    <hyperlink ref="A158" r:id="rId134" display="http://www.state.gov/p/af/ci/ni/" xr:uid="{00000000-0004-0000-0600-000085000000}"/>
    <hyperlink ref="A159" r:id="rId135" display="http://www.state.gov/p/eap/ci/kn/" xr:uid="{00000000-0004-0000-0600-000086000000}"/>
    <hyperlink ref="A160" r:id="rId136" display="http://www.state.gov/p/eur/ci/no/" xr:uid="{00000000-0004-0000-0600-000087000000}"/>
    <hyperlink ref="A161" r:id="rId137" display="http://www.state.gov/p/nea/ci/mu" xr:uid="{00000000-0004-0000-0600-000088000000}"/>
    <hyperlink ref="A162" r:id="rId138" display="http://www.state.gov/p/sca/ci/pk/" xr:uid="{00000000-0004-0000-0600-000089000000}"/>
    <hyperlink ref="A163" r:id="rId139" display="http://www.state.gov/p/eap/ci/ps/" xr:uid="{00000000-0004-0000-0600-00008A000000}"/>
    <hyperlink ref="A164" r:id="rId140" display="http://www.state.gov/p/nea/ci/pt" xr:uid="{00000000-0004-0000-0600-00008B000000}"/>
    <hyperlink ref="A165" r:id="rId141" display="http://www.state.gov/p/wha/ci/pm/" xr:uid="{00000000-0004-0000-0600-00008C000000}"/>
    <hyperlink ref="A166" r:id="rId142" display="http://www.state.gov/p/eap/ci/pp/" xr:uid="{00000000-0004-0000-0600-00008D000000}"/>
    <hyperlink ref="A167" r:id="rId143" display="http://www.state.gov/p/wha/ci/pa/" xr:uid="{00000000-0004-0000-0600-00008E000000}"/>
    <hyperlink ref="A168" r:id="rId144" display="http://www.state.gov/p/wha/ci/pe/" xr:uid="{00000000-0004-0000-0600-00008F000000}"/>
    <hyperlink ref="A169" r:id="rId145" display="http://www.state.gov/p/eap/ci/rp/" xr:uid="{00000000-0004-0000-0600-000090000000}"/>
    <hyperlink ref="A170" r:id="rId146" display="http://www.state.gov/p/eur/ci/pl/" xr:uid="{00000000-0004-0000-0600-000091000000}"/>
    <hyperlink ref="A171" r:id="rId147" display="http://www.state.gov/p/eur/ci/po/" xr:uid="{00000000-0004-0000-0600-000092000000}"/>
    <hyperlink ref="A172" r:id="rId148" display="http://www.state.gov/p/nea/ci/qa" xr:uid="{00000000-0004-0000-0600-000093000000}"/>
    <hyperlink ref="A173" r:id="rId149" display="http://www.state.gov/p/eur/ci/ro/" xr:uid="{00000000-0004-0000-0600-000094000000}"/>
    <hyperlink ref="A174" r:id="rId150" display="http://www.state.gov/p/eur/ci/rs/" xr:uid="{00000000-0004-0000-0600-000095000000}"/>
    <hyperlink ref="A175" r:id="rId151" display="http://www.state.gov/p/af/ci/rw/" xr:uid="{00000000-0004-0000-0600-000096000000}"/>
    <hyperlink ref="A176" r:id="rId152" display="http://www.state.gov/p/wha/ci/sc/" xr:uid="{00000000-0004-0000-0600-000097000000}"/>
    <hyperlink ref="A177" r:id="rId153" display="http://www.state.gov/p/wha/ci/st/" xr:uid="{00000000-0004-0000-0600-000098000000}"/>
    <hyperlink ref="A178" r:id="rId154" display="http://www.state.gov/p/wha/ci/vc/" xr:uid="{00000000-0004-0000-0600-000099000000}"/>
    <hyperlink ref="A179" r:id="rId155" display="http://www.state.gov/p/eap/ci/ws/" xr:uid="{00000000-0004-0000-0600-00009A000000}"/>
    <hyperlink ref="A180" r:id="rId156" display="http://www.state.gov/p/eur/ci/sm/" xr:uid="{00000000-0004-0000-0600-00009B000000}"/>
    <hyperlink ref="A181" r:id="rId157" display="http://www.state.gov/p/af/ci/tp/" xr:uid="{00000000-0004-0000-0600-00009C000000}"/>
    <hyperlink ref="A182" r:id="rId158" display="http://www.state.gov/p/nea/ci/sa" xr:uid="{00000000-0004-0000-0600-00009D000000}"/>
    <hyperlink ref="A183" r:id="rId159" display="http://www.state.gov/p/af/ci/sg/" xr:uid="{00000000-0004-0000-0600-00009E000000}"/>
    <hyperlink ref="A184" r:id="rId160" display="http://www.state.gov/p/eur/ci/ri" xr:uid="{00000000-0004-0000-0600-00009F000000}"/>
    <hyperlink ref="A185" r:id="rId161" display="http://www.state.gov/p/af/ci/se/" xr:uid="{00000000-0004-0000-0600-0000A0000000}"/>
    <hyperlink ref="A186" r:id="rId162" display="http://www.state.gov/p/af/ci/sl/" xr:uid="{00000000-0004-0000-0600-0000A1000000}"/>
    <hyperlink ref="A187" r:id="rId163" display="http://www.state.gov/p/eap/ci/sn/" xr:uid="{00000000-0004-0000-0600-0000A2000000}"/>
    <hyperlink ref="A188" r:id="rId164" display="http://www.state.gov/p/eur/ci/nl/" xr:uid="{00000000-0004-0000-0600-0000A3000000}"/>
    <hyperlink ref="A189" r:id="rId165" display="http://www.state.gov/p/eur/ci/lo/" xr:uid="{00000000-0004-0000-0600-0000A4000000}"/>
    <hyperlink ref="A190" r:id="rId166" display="http://www.state.gov/p/eur/ci/si/" xr:uid="{00000000-0004-0000-0600-0000A5000000}"/>
    <hyperlink ref="A191" r:id="rId167" display="http://www.state.gov/p/eap/ci/bp/" xr:uid="{00000000-0004-0000-0600-0000A6000000}"/>
    <hyperlink ref="A192" r:id="rId168" display="http://www.state.gov/p/af/ci/so/" xr:uid="{00000000-0004-0000-0600-0000A7000000}"/>
    <hyperlink ref="A193" r:id="rId169" display="http://www.state.gov/p/af/ci/sf/" xr:uid="{00000000-0004-0000-0600-0000A8000000}"/>
    <hyperlink ref="A194" r:id="rId170" display="http://www.state.gov/p/eap/ci/ks/" xr:uid="{00000000-0004-0000-0600-0000A9000000}"/>
    <hyperlink ref="A195" r:id="rId171" display="http://www.state.gov/p/af/ci/od/index.htm" xr:uid="{00000000-0004-0000-0600-0000AA000000}"/>
    <hyperlink ref="A196" r:id="rId172" display="http://www.state.gov/p/eur/ci/sp/" xr:uid="{00000000-0004-0000-0600-0000AB000000}"/>
    <hyperlink ref="A197" r:id="rId173" display="http://www.state.gov/p/sca/ci/ce/" xr:uid="{00000000-0004-0000-0600-0000AC000000}"/>
    <hyperlink ref="A198" r:id="rId174" display="http://www.state.gov/p/af/ci/su/" xr:uid="{00000000-0004-0000-0600-0000AD000000}"/>
    <hyperlink ref="A199" r:id="rId175" display="http://www.state.gov/p/wha/ci/ns/" xr:uid="{00000000-0004-0000-0600-0000AE000000}"/>
    <hyperlink ref="A200" r:id="rId176" display="http://www.state.gov/p/af/ci/wz/" xr:uid="{00000000-0004-0000-0600-0000AF000000}"/>
    <hyperlink ref="A201" r:id="rId177" display="http://www.state.gov/p/eur/ci/sw/" xr:uid="{00000000-0004-0000-0600-0000B0000000}"/>
    <hyperlink ref="A202" r:id="rId178" display="http://www.state.gov/p/eur/ci/sz/" xr:uid="{00000000-0004-0000-0600-0000B1000000}"/>
    <hyperlink ref="A203" r:id="rId179" display="http://www.state.gov/p/nea/ci/sy" xr:uid="{00000000-0004-0000-0600-0000B2000000}"/>
    <hyperlink ref="A204" r:id="rId180" display="http://www.state.gov/p/eap/ci/taiwan/" xr:uid="{00000000-0004-0000-0600-0000B3000000}"/>
    <hyperlink ref="A205" r:id="rId181" display="http://www.state.gov/p/sca/ci/ti/" xr:uid="{00000000-0004-0000-0600-0000B4000000}"/>
    <hyperlink ref="A206" r:id="rId182" display="http://www.state.gov/p/af/ci/tz/" xr:uid="{00000000-0004-0000-0600-0000B5000000}"/>
    <hyperlink ref="A207" r:id="rId183" display="http://www.state.gov/p/eap/ci/th/" xr:uid="{00000000-0004-0000-0600-0000B6000000}"/>
    <hyperlink ref="A208" r:id="rId184" display="http://www.state.gov/p/eap/ci/tt/" xr:uid="{00000000-0004-0000-0600-0000B7000000}"/>
    <hyperlink ref="A209" r:id="rId185" display="http://www.state.gov/p/af/ci/to/" xr:uid="{00000000-0004-0000-0600-0000B8000000}"/>
    <hyperlink ref="A210" r:id="rId186" display="http://www.state.gov/p/eap/ci/tn/" xr:uid="{00000000-0004-0000-0600-0000B9000000}"/>
    <hyperlink ref="A211" r:id="rId187" display="http://www.state.gov/p/wha/ci/td/" xr:uid="{00000000-0004-0000-0600-0000BA000000}"/>
    <hyperlink ref="A212" r:id="rId188" display="http://www.state.gov/p/nea/ci/ts" xr:uid="{00000000-0004-0000-0600-0000BB000000}"/>
    <hyperlink ref="A213" r:id="rId189" display="http://www.state.gov/p/eur/ci/tu/" xr:uid="{00000000-0004-0000-0600-0000BC000000}"/>
    <hyperlink ref="A214" r:id="rId190" display="http://www.state.gov/p/sca/ci/tx/" xr:uid="{00000000-0004-0000-0600-0000BD000000}"/>
    <hyperlink ref="A215" r:id="rId191" display="http://www.state.gov/p/eap/ci/tv/" xr:uid="{00000000-0004-0000-0600-0000BE000000}"/>
    <hyperlink ref="A216" r:id="rId192" display="http://www.state.gov/p/af/ci/ug/" xr:uid="{00000000-0004-0000-0600-0000BF000000}"/>
    <hyperlink ref="A217" r:id="rId193" display="http://www.state.gov/p/eur/ci/up/" xr:uid="{00000000-0004-0000-0600-0000C0000000}"/>
    <hyperlink ref="A218" r:id="rId194" display="http://www.state.gov/p/nea/ci/ae" xr:uid="{00000000-0004-0000-0600-0000C1000000}"/>
    <hyperlink ref="A219" r:id="rId195" display="http://www.state.gov/p/eur/ci/uk/" xr:uid="{00000000-0004-0000-0600-0000C2000000}"/>
    <hyperlink ref="A220" r:id="rId196" display="http://www.state.gov/p/wha/ci/uy/" xr:uid="{00000000-0004-0000-0600-0000C3000000}"/>
    <hyperlink ref="A221" r:id="rId197" display="http://www.state.gov/p/sca/ci/uz/" xr:uid="{00000000-0004-0000-0600-0000C4000000}"/>
    <hyperlink ref="A222" r:id="rId198" display="http://www.state.gov/p/eap/ci/nh/" xr:uid="{00000000-0004-0000-0600-0000C5000000}"/>
    <hyperlink ref="A223" r:id="rId199" display="http://www.state.gov/p/wha/ci/ve/" xr:uid="{00000000-0004-0000-0600-0000C6000000}"/>
    <hyperlink ref="A224" r:id="rId200" display="http://www.state.gov/p/eap/ci/vm/" xr:uid="{00000000-0004-0000-0600-0000C7000000}"/>
    <hyperlink ref="A225" r:id="rId201" display="http://www.state.gov/p/nea/ci/ym" xr:uid="{00000000-0004-0000-0600-0000C8000000}"/>
    <hyperlink ref="A226" r:id="rId202" display="http://www.state.gov/p/af/ci/za/" xr:uid="{00000000-0004-0000-0600-0000C9000000}"/>
    <hyperlink ref="A227" r:id="rId203" display="http://www.state.gov/p/af/ci/zi/" xr:uid="{00000000-0004-0000-0600-0000CA000000}"/>
  </hyperlinks>
  <pageMargins left="0.7" right="0.7" top="0.75" bottom="0.75" header="0.3" footer="0.3"/>
  <pageSetup paperSize="9" orientation="portrait" r:id="rId20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82"/>
  <sheetViews>
    <sheetView workbookViewId="0">
      <selection activeCell="I79" sqref="I79"/>
    </sheetView>
  </sheetViews>
  <sheetFormatPr defaultColWidth="11.453125" defaultRowHeight="12.5" x14ac:dyDescent="0.25"/>
  <cols>
    <col min="1" max="1" width="2.1796875" style="7" customWidth="1"/>
    <col min="2" max="2" width="34.7265625" style="7" customWidth="1"/>
    <col min="3" max="16384" width="11.453125" style="7"/>
  </cols>
  <sheetData>
    <row r="1" spans="1:5" ht="31.5" customHeight="1" x14ac:dyDescent="0.5">
      <c r="A1" s="11"/>
      <c r="B1" s="382" t="s">
        <v>545</v>
      </c>
      <c r="C1" s="383"/>
      <c r="D1" s="383"/>
      <c r="E1" s="6"/>
    </row>
    <row r="2" spans="1:5" ht="20.25" customHeight="1" x14ac:dyDescent="0.4">
      <c r="A2" s="9"/>
      <c r="B2" s="56"/>
      <c r="C2" s="12"/>
      <c r="D2" s="12"/>
      <c r="E2" s="5"/>
    </row>
    <row r="3" spans="1:5" x14ac:dyDescent="0.25">
      <c r="A3" s="9"/>
      <c r="B3" s="24" t="s">
        <v>546</v>
      </c>
      <c r="C3" s="12"/>
      <c r="D3" s="57"/>
      <c r="E3" s="5"/>
    </row>
    <row r="4" spans="1:5" x14ac:dyDescent="0.25">
      <c r="A4" s="9"/>
      <c r="B4" s="24" t="s">
        <v>547</v>
      </c>
      <c r="C4" s="12"/>
      <c r="D4" s="12"/>
      <c r="E4" s="5"/>
    </row>
    <row r="5" spans="1:5" x14ac:dyDescent="0.25">
      <c r="A5" s="9"/>
      <c r="B5" s="24" t="s">
        <v>548</v>
      </c>
      <c r="C5" s="12"/>
      <c r="D5" s="12"/>
      <c r="E5" s="5"/>
    </row>
    <row r="6" spans="1:5" ht="13" thickBot="1" x14ac:dyDescent="0.3">
      <c r="A6" s="9"/>
      <c r="B6" s="13"/>
      <c r="C6" s="12"/>
      <c r="D6" s="12"/>
      <c r="E6" s="5"/>
    </row>
    <row r="7" spans="1:5" ht="14.5" x14ac:dyDescent="0.35">
      <c r="A7" s="9"/>
      <c r="B7" s="41" t="s">
        <v>549</v>
      </c>
      <c r="C7" s="42" t="s">
        <v>550</v>
      </c>
      <c r="D7" s="43" t="s">
        <v>551</v>
      </c>
      <c r="E7" s="5"/>
    </row>
    <row r="8" spans="1:5" ht="14.5" x14ac:dyDescent="0.35">
      <c r="A8" s="9"/>
      <c r="B8" s="25" t="s">
        <v>552</v>
      </c>
      <c r="C8" s="26">
        <v>0</v>
      </c>
      <c r="D8" s="27">
        <f>C8*12</f>
        <v>0</v>
      </c>
      <c r="E8" s="5"/>
    </row>
    <row r="9" spans="1:5" ht="14.5" x14ac:dyDescent="0.35">
      <c r="A9" s="9"/>
      <c r="B9" s="28" t="s">
        <v>553</v>
      </c>
      <c r="C9" s="26"/>
      <c r="D9" s="27"/>
      <c r="E9" s="5"/>
    </row>
    <row r="10" spans="1:5" ht="14.5" x14ac:dyDescent="0.35">
      <c r="A10" s="9"/>
      <c r="B10" s="30" t="s">
        <v>554</v>
      </c>
      <c r="C10" s="26">
        <v>0</v>
      </c>
      <c r="D10" s="27">
        <f t="shared" ref="D10:D17" si="0">C10*12</f>
        <v>0</v>
      </c>
      <c r="E10" s="5"/>
    </row>
    <row r="11" spans="1:5" ht="14.5" x14ac:dyDescent="0.35">
      <c r="A11" s="9"/>
      <c r="B11" s="30" t="s">
        <v>555</v>
      </c>
      <c r="C11" s="26">
        <v>0</v>
      </c>
      <c r="D11" s="27">
        <f t="shared" si="0"/>
        <v>0</v>
      </c>
      <c r="E11" s="5"/>
    </row>
    <row r="12" spans="1:5" ht="14.5" x14ac:dyDescent="0.35">
      <c r="A12" s="9"/>
      <c r="B12" s="30" t="s">
        <v>556</v>
      </c>
      <c r="C12" s="27">
        <v>0</v>
      </c>
      <c r="D12" s="27">
        <f t="shared" si="0"/>
        <v>0</v>
      </c>
      <c r="E12" s="5"/>
    </row>
    <row r="13" spans="1:5" ht="14.5" x14ac:dyDescent="0.35">
      <c r="A13" s="9"/>
      <c r="B13" s="30" t="s">
        <v>557</v>
      </c>
      <c r="C13" s="27">
        <v>0</v>
      </c>
      <c r="D13" s="27">
        <f t="shared" si="0"/>
        <v>0</v>
      </c>
      <c r="E13" s="5"/>
    </row>
    <row r="14" spans="1:5" ht="14.5" x14ac:dyDescent="0.35">
      <c r="A14" s="9"/>
      <c r="B14" s="30" t="s">
        <v>558</v>
      </c>
      <c r="C14" s="27">
        <v>0</v>
      </c>
      <c r="D14" s="27">
        <f t="shared" si="0"/>
        <v>0</v>
      </c>
      <c r="E14" s="5"/>
    </row>
    <row r="15" spans="1:5" ht="14.5" x14ac:dyDescent="0.35">
      <c r="A15" s="9"/>
      <c r="B15" s="30" t="s">
        <v>559</v>
      </c>
      <c r="C15" s="27">
        <v>0</v>
      </c>
      <c r="D15" s="27">
        <f t="shared" si="0"/>
        <v>0</v>
      </c>
      <c r="E15" s="5"/>
    </row>
    <row r="16" spans="1:5" ht="14.5" x14ac:dyDescent="0.25">
      <c r="A16" s="9"/>
      <c r="B16" s="31" t="s">
        <v>560</v>
      </c>
      <c r="C16" s="27">
        <v>0</v>
      </c>
      <c r="D16" s="27">
        <f t="shared" si="0"/>
        <v>0</v>
      </c>
      <c r="E16" s="5"/>
    </row>
    <row r="17" spans="1:5" ht="14.5" x14ac:dyDescent="0.35">
      <c r="A17" s="9"/>
      <c r="B17" s="32" t="s">
        <v>561</v>
      </c>
      <c r="C17" s="27">
        <v>0</v>
      </c>
      <c r="D17" s="27">
        <f t="shared" si="0"/>
        <v>0</v>
      </c>
      <c r="E17" s="5"/>
    </row>
    <row r="18" spans="1:5" ht="14.5" x14ac:dyDescent="0.35">
      <c r="A18" s="9"/>
      <c r="B18" s="14" t="s">
        <v>562</v>
      </c>
      <c r="C18" s="15">
        <f>C17+C8</f>
        <v>0</v>
      </c>
      <c r="D18" s="15">
        <f>D17+'Indian Payroll Data'!D8</f>
        <v>0</v>
      </c>
      <c r="E18" s="5"/>
    </row>
    <row r="19" spans="1:5" x14ac:dyDescent="0.25">
      <c r="A19" s="9"/>
      <c r="B19" s="31"/>
      <c r="C19" s="29"/>
      <c r="D19" s="29"/>
      <c r="E19" s="5"/>
    </row>
    <row r="20" spans="1:5" ht="14.5" x14ac:dyDescent="0.35">
      <c r="A20" s="9"/>
      <c r="B20" s="28" t="s">
        <v>563</v>
      </c>
      <c r="C20" s="29"/>
      <c r="D20" s="29"/>
      <c r="E20" s="5"/>
    </row>
    <row r="21" spans="1:5" x14ac:dyDescent="0.25">
      <c r="A21" s="9"/>
      <c r="B21" s="24" t="s">
        <v>564</v>
      </c>
      <c r="C21" s="29"/>
      <c r="D21" s="29"/>
      <c r="E21" s="5"/>
    </row>
    <row r="22" spans="1:5" ht="14.5" x14ac:dyDescent="0.25">
      <c r="A22" s="9"/>
      <c r="B22" s="24" t="s">
        <v>565</v>
      </c>
      <c r="C22" s="27">
        <v>0</v>
      </c>
      <c r="D22" s="29">
        <f>C22*12</f>
        <v>0</v>
      </c>
      <c r="E22" s="5"/>
    </row>
    <row r="23" spans="1:5" ht="14.5" x14ac:dyDescent="0.25">
      <c r="A23" s="9"/>
      <c r="B23" s="24" t="s">
        <v>566</v>
      </c>
      <c r="C23" s="27">
        <v>0</v>
      </c>
      <c r="D23" s="29">
        <f>C23*12</f>
        <v>0</v>
      </c>
      <c r="E23" s="5"/>
    </row>
    <row r="24" spans="1:5" x14ac:dyDescent="0.25">
      <c r="A24" s="9"/>
      <c r="B24" s="13" t="s">
        <v>567</v>
      </c>
      <c r="C24" s="15">
        <v>0</v>
      </c>
      <c r="D24" s="15">
        <f>SUM(D22:D23)</f>
        <v>0</v>
      </c>
      <c r="E24" s="5"/>
    </row>
    <row r="25" spans="1:5" ht="14.5" x14ac:dyDescent="0.35">
      <c r="A25" s="9"/>
      <c r="B25" s="34" t="s">
        <v>568</v>
      </c>
      <c r="C25" s="29"/>
      <c r="D25" s="29"/>
      <c r="E25" s="5"/>
    </row>
    <row r="26" spans="1:5" ht="14.5" x14ac:dyDescent="0.25">
      <c r="A26" s="9"/>
      <c r="B26" s="24" t="s">
        <v>569</v>
      </c>
      <c r="C26" s="27">
        <v>0</v>
      </c>
      <c r="D26" s="29">
        <f>C26*12</f>
        <v>0</v>
      </c>
      <c r="E26" s="5"/>
    </row>
    <row r="27" spans="1:5" ht="14.5" x14ac:dyDescent="0.25">
      <c r="A27" s="9"/>
      <c r="B27" s="24" t="s">
        <v>570</v>
      </c>
      <c r="C27" s="27">
        <v>0</v>
      </c>
      <c r="D27" s="29">
        <f>C27*12</f>
        <v>0</v>
      </c>
      <c r="E27" s="5"/>
    </row>
    <row r="28" spans="1:5" x14ac:dyDescent="0.25">
      <c r="A28" s="9"/>
      <c r="B28" s="13" t="s">
        <v>571</v>
      </c>
      <c r="C28" s="15">
        <v>0</v>
      </c>
      <c r="D28" s="15">
        <f>SUM(D26:D27)</f>
        <v>0</v>
      </c>
      <c r="E28" s="5"/>
    </row>
    <row r="29" spans="1:5" ht="14.5" x14ac:dyDescent="0.35">
      <c r="A29" s="9"/>
      <c r="B29" s="35"/>
      <c r="C29" s="29"/>
      <c r="D29" s="29"/>
      <c r="E29" s="5"/>
    </row>
    <row r="30" spans="1:5" ht="14.5" x14ac:dyDescent="0.35">
      <c r="A30" s="9"/>
      <c r="B30" s="14" t="s">
        <v>572</v>
      </c>
      <c r="C30" s="15">
        <f>C18+C24+C28</f>
        <v>0</v>
      </c>
      <c r="D30" s="15">
        <f>D18+D24+D28</f>
        <v>0</v>
      </c>
      <c r="E30" s="5"/>
    </row>
    <row r="31" spans="1:5" ht="14.5" x14ac:dyDescent="0.35">
      <c r="A31" s="9"/>
      <c r="B31" s="33" t="s">
        <v>573</v>
      </c>
      <c r="C31" s="29"/>
      <c r="D31" s="29"/>
      <c r="E31" s="5"/>
    </row>
    <row r="32" spans="1:5" ht="14.5" x14ac:dyDescent="0.35">
      <c r="A32" s="9"/>
      <c r="B32" s="31" t="s">
        <v>574</v>
      </c>
      <c r="C32" s="27">
        <v>0</v>
      </c>
      <c r="D32" s="27">
        <v>0</v>
      </c>
      <c r="E32" s="8"/>
    </row>
    <row r="33" spans="1:5" ht="14.5" x14ac:dyDescent="0.25">
      <c r="A33" s="9"/>
      <c r="B33" s="31" t="s">
        <v>575</v>
      </c>
      <c r="C33" s="27">
        <v>0</v>
      </c>
      <c r="D33" s="27">
        <v>0</v>
      </c>
      <c r="E33" s="5"/>
    </row>
    <row r="34" spans="1:5" ht="14.5" x14ac:dyDescent="0.25">
      <c r="A34" s="9"/>
      <c r="B34" s="31" t="s">
        <v>576</v>
      </c>
      <c r="C34" s="27">
        <v>0</v>
      </c>
      <c r="D34" s="27">
        <v>0</v>
      </c>
      <c r="E34" s="5"/>
    </row>
    <row r="35" spans="1:5" ht="14.5" x14ac:dyDescent="0.35">
      <c r="A35" s="9"/>
      <c r="B35" s="33" t="s">
        <v>562</v>
      </c>
      <c r="C35" s="29">
        <v>0</v>
      </c>
      <c r="D35" s="29">
        <v>0</v>
      </c>
      <c r="E35" s="5"/>
    </row>
    <row r="36" spans="1:5" x14ac:dyDescent="0.25">
      <c r="A36" s="9"/>
      <c r="B36" s="31"/>
      <c r="C36" s="15">
        <f>C30+C35</f>
        <v>0</v>
      </c>
      <c r="D36" s="15">
        <f>D30+D35</f>
        <v>0</v>
      </c>
      <c r="E36" s="5"/>
    </row>
    <row r="37" spans="1:5" ht="14.5" x14ac:dyDescent="0.35">
      <c r="A37" s="9"/>
      <c r="B37" s="31"/>
      <c r="C37" s="29"/>
      <c r="D37" s="29"/>
      <c r="E37" s="8"/>
    </row>
    <row r="38" spans="1:5" ht="14.5" x14ac:dyDescent="0.35">
      <c r="A38" s="9"/>
      <c r="B38" s="33" t="s">
        <v>577</v>
      </c>
      <c r="C38" s="29"/>
      <c r="D38" s="27">
        <v>0</v>
      </c>
      <c r="E38" s="5"/>
    </row>
    <row r="39" spans="1:5" x14ac:dyDescent="0.25">
      <c r="A39" s="9"/>
      <c r="B39" s="31"/>
      <c r="C39" s="29"/>
      <c r="D39" s="29"/>
      <c r="E39" s="5"/>
    </row>
    <row r="40" spans="1:5" ht="14.5" x14ac:dyDescent="0.35">
      <c r="A40" s="9"/>
      <c r="B40" s="14" t="s">
        <v>578</v>
      </c>
      <c r="C40" s="15"/>
      <c r="D40" s="15">
        <f>D36+D38</f>
        <v>0</v>
      </c>
      <c r="E40" s="5"/>
    </row>
    <row r="41" spans="1:5" x14ac:dyDescent="0.25">
      <c r="A41" s="9"/>
      <c r="B41" s="86"/>
      <c r="C41" s="36"/>
      <c r="D41" s="36"/>
      <c r="E41" s="5"/>
    </row>
    <row r="42" spans="1:5" ht="14.5" x14ac:dyDescent="0.35">
      <c r="A42" s="9"/>
      <c r="B42" s="10" t="s">
        <v>579</v>
      </c>
      <c r="C42" s="36"/>
      <c r="D42" s="36"/>
      <c r="E42" s="5"/>
    </row>
    <row r="43" spans="1:5" x14ac:dyDescent="0.25">
      <c r="A43" s="9"/>
      <c r="B43" s="86"/>
      <c r="C43" s="36"/>
      <c r="D43" s="36"/>
      <c r="E43" s="5"/>
    </row>
    <row r="44" spans="1:5" ht="14.5" x14ac:dyDescent="0.25">
      <c r="A44" s="9"/>
      <c r="B44" s="86" t="s">
        <v>580</v>
      </c>
      <c r="C44" s="36"/>
      <c r="D44" s="47">
        <f>D18+D38</f>
        <v>0</v>
      </c>
      <c r="E44" s="48"/>
    </row>
    <row r="45" spans="1:5" ht="14.5" x14ac:dyDescent="0.25">
      <c r="A45" s="9"/>
      <c r="B45" s="86"/>
      <c r="C45" s="36"/>
      <c r="D45" s="47"/>
      <c r="E45" s="5"/>
    </row>
    <row r="46" spans="1:5" ht="14.5" x14ac:dyDescent="0.35">
      <c r="A46" s="9"/>
      <c r="B46" s="16" t="s">
        <v>581</v>
      </c>
      <c r="C46" s="29"/>
      <c r="D46" s="37"/>
      <c r="E46" s="5"/>
    </row>
    <row r="47" spans="1:5" ht="14.5" x14ac:dyDescent="0.25">
      <c r="A47" s="9"/>
      <c r="B47" s="31" t="s">
        <v>582</v>
      </c>
      <c r="C47" s="29"/>
      <c r="D47" s="27">
        <v>0</v>
      </c>
      <c r="E47" s="5"/>
    </row>
    <row r="48" spans="1:5" ht="14.5" x14ac:dyDescent="0.25">
      <c r="A48" s="9"/>
      <c r="B48" s="31" t="s">
        <v>554</v>
      </c>
      <c r="C48" s="29">
        <f>D48/12</f>
        <v>0</v>
      </c>
      <c r="D48" s="37">
        <v>0</v>
      </c>
      <c r="E48" s="5"/>
    </row>
    <row r="49" spans="1:5" ht="14.5" x14ac:dyDescent="0.25">
      <c r="A49" s="9"/>
      <c r="B49" s="31" t="s">
        <v>583</v>
      </c>
      <c r="C49" s="29">
        <v>0</v>
      </c>
      <c r="D49" s="37">
        <v>0</v>
      </c>
      <c r="E49" s="5"/>
    </row>
    <row r="50" spans="1:5" ht="14.5" x14ac:dyDescent="0.25">
      <c r="A50" s="9"/>
      <c r="B50" s="31" t="s">
        <v>584</v>
      </c>
      <c r="C50" s="27">
        <v>0</v>
      </c>
      <c r="D50" s="27">
        <v>0</v>
      </c>
      <c r="E50" s="5"/>
    </row>
    <row r="51" spans="1:5" ht="14.5" x14ac:dyDescent="0.25">
      <c r="A51" s="9"/>
      <c r="B51" s="31"/>
      <c r="C51" s="29"/>
      <c r="D51" s="37"/>
      <c r="E51" s="5"/>
    </row>
    <row r="52" spans="1:5" ht="14.5" x14ac:dyDescent="0.35">
      <c r="A52" s="9"/>
      <c r="B52" s="17" t="s">
        <v>585</v>
      </c>
      <c r="C52" s="18"/>
      <c r="D52" s="19">
        <f>D44-D47-D48-D49-D50</f>
        <v>0</v>
      </c>
      <c r="E52" s="5"/>
    </row>
    <row r="53" spans="1:5" ht="14.5" x14ac:dyDescent="0.25">
      <c r="A53" s="9"/>
      <c r="B53" s="86"/>
      <c r="C53" s="36"/>
      <c r="D53" s="47"/>
      <c r="E53" s="5"/>
    </row>
    <row r="54" spans="1:5" ht="14.5" x14ac:dyDescent="0.25">
      <c r="A54" s="9"/>
      <c r="B54" s="86"/>
      <c r="C54" s="36"/>
      <c r="D54" s="47"/>
      <c r="E54" s="5"/>
    </row>
    <row r="55" spans="1:5" ht="14.5" x14ac:dyDescent="0.25">
      <c r="A55" s="9"/>
      <c r="B55" s="24" t="s">
        <v>586</v>
      </c>
      <c r="C55" s="29"/>
      <c r="D55" s="37"/>
      <c r="E55" s="5"/>
    </row>
    <row r="56" spans="1:5" ht="14.5" x14ac:dyDescent="0.25">
      <c r="A56" s="9"/>
      <c r="B56" s="24" t="s">
        <v>587</v>
      </c>
      <c r="C56" s="29"/>
      <c r="D56" s="27">
        <v>0</v>
      </c>
      <c r="E56" s="5"/>
    </row>
    <row r="57" spans="1:5" ht="14.5" x14ac:dyDescent="0.25">
      <c r="A57" s="9"/>
      <c r="B57" s="24"/>
      <c r="C57" s="29"/>
      <c r="D57" s="37"/>
      <c r="E57" s="5"/>
    </row>
    <row r="58" spans="1:5" ht="14.5" x14ac:dyDescent="0.25">
      <c r="A58" s="9"/>
      <c r="B58" s="24" t="s">
        <v>588</v>
      </c>
      <c r="C58" s="29"/>
      <c r="D58" s="37"/>
      <c r="E58" s="5"/>
    </row>
    <row r="59" spans="1:5" ht="15" thickBot="1" x14ac:dyDescent="0.3">
      <c r="A59" s="9"/>
      <c r="B59" s="38" t="s">
        <v>589</v>
      </c>
      <c r="C59" s="39"/>
      <c r="D59" s="40">
        <f>D52-D56</f>
        <v>0</v>
      </c>
      <c r="E59" s="5"/>
    </row>
    <row r="60" spans="1:5" ht="15" thickTop="1" x14ac:dyDescent="0.25">
      <c r="A60" s="9"/>
      <c r="B60" s="86"/>
      <c r="C60" s="36"/>
      <c r="D60" s="47"/>
      <c r="E60" s="5"/>
    </row>
    <row r="61" spans="1:5" ht="14.5" x14ac:dyDescent="0.25">
      <c r="A61" s="9"/>
      <c r="B61" s="86"/>
      <c r="C61" s="36"/>
      <c r="D61" s="47"/>
      <c r="E61" s="5"/>
    </row>
    <row r="62" spans="1:5" ht="14.5" x14ac:dyDescent="0.25">
      <c r="A62" s="9"/>
      <c r="B62" s="20" t="s">
        <v>590</v>
      </c>
      <c r="C62" s="29"/>
      <c r="D62" s="37"/>
      <c r="E62" s="5"/>
    </row>
    <row r="63" spans="1:5" ht="14.5" x14ac:dyDescent="0.25">
      <c r="A63" s="9"/>
      <c r="B63" s="24" t="s">
        <v>591</v>
      </c>
      <c r="C63" s="26">
        <f>C32</f>
        <v>0</v>
      </c>
      <c r="D63" s="27">
        <v>0</v>
      </c>
      <c r="E63" s="5"/>
    </row>
    <row r="64" spans="1:5" ht="14.5" x14ac:dyDescent="0.25">
      <c r="A64" s="9"/>
      <c r="B64" s="24" t="s">
        <v>592</v>
      </c>
      <c r="C64" s="36"/>
      <c r="D64" s="27">
        <v>0</v>
      </c>
      <c r="E64" s="5"/>
    </row>
    <row r="65" spans="1:5" ht="14.5" x14ac:dyDescent="0.25">
      <c r="A65" s="9"/>
      <c r="B65" s="24" t="s">
        <v>593</v>
      </c>
      <c r="C65" s="29"/>
      <c r="D65" s="37">
        <v>0</v>
      </c>
      <c r="E65" s="5"/>
    </row>
    <row r="66" spans="1:5" x14ac:dyDescent="0.25">
      <c r="A66" s="9"/>
      <c r="B66" s="20" t="s">
        <v>590</v>
      </c>
      <c r="C66" s="29"/>
      <c r="D66" s="21">
        <f>IF(SUM(D63:D65)&gt;150000,150000,SUM(D63:D65))</f>
        <v>0</v>
      </c>
      <c r="E66" s="5"/>
    </row>
    <row r="67" spans="1:5" x14ac:dyDescent="0.25">
      <c r="A67" s="9"/>
      <c r="B67" s="20"/>
      <c r="C67" s="29"/>
      <c r="D67" s="21"/>
      <c r="E67" s="5"/>
    </row>
    <row r="68" spans="1:5" x14ac:dyDescent="0.25">
      <c r="A68" s="9"/>
      <c r="B68" s="20" t="s">
        <v>594</v>
      </c>
      <c r="C68" s="29"/>
      <c r="D68" s="21">
        <v>0</v>
      </c>
      <c r="E68" s="5"/>
    </row>
    <row r="69" spans="1:5" x14ac:dyDescent="0.25">
      <c r="A69" s="9"/>
      <c r="B69" s="20"/>
      <c r="C69" s="29"/>
      <c r="D69" s="21"/>
      <c r="E69" s="5"/>
    </row>
    <row r="70" spans="1:5" ht="14.5" x14ac:dyDescent="0.25">
      <c r="A70" s="9"/>
      <c r="B70" s="24"/>
      <c r="C70" s="29"/>
      <c r="D70" s="37"/>
      <c r="E70" s="5"/>
    </row>
    <row r="71" spans="1:5" ht="14.5" x14ac:dyDescent="0.25">
      <c r="A71" s="9"/>
      <c r="B71" s="22" t="s">
        <v>595</v>
      </c>
      <c r="C71" s="18"/>
      <c r="D71" s="19">
        <f>D52-D66-D68</f>
        <v>0</v>
      </c>
      <c r="E71" s="5"/>
    </row>
    <row r="72" spans="1:5" ht="14.5" x14ac:dyDescent="0.25">
      <c r="A72" s="9"/>
      <c r="B72" s="86"/>
      <c r="C72" s="36"/>
      <c r="D72" s="47"/>
      <c r="E72" s="5"/>
    </row>
    <row r="73" spans="1:5" ht="14.5" x14ac:dyDescent="0.35">
      <c r="A73" s="9"/>
      <c r="B73" s="44" t="s">
        <v>596</v>
      </c>
      <c r="C73" s="45" t="s">
        <v>597</v>
      </c>
      <c r="D73" s="46" t="s">
        <v>598</v>
      </c>
      <c r="E73" s="5"/>
    </row>
    <row r="74" spans="1:5" ht="14.5" x14ac:dyDescent="0.25">
      <c r="A74" s="9"/>
      <c r="B74" s="24" t="s">
        <v>599</v>
      </c>
      <c r="C74" s="29">
        <v>0.1</v>
      </c>
      <c r="D74" s="37">
        <f>IF($D$71&lt;500000,(($D$71-200000)*10%),30000)</f>
        <v>-20000</v>
      </c>
      <c r="E74" s="49"/>
    </row>
    <row r="75" spans="1:5" ht="14.5" x14ac:dyDescent="0.25">
      <c r="A75" s="9"/>
      <c r="B75" s="24" t="s">
        <v>600</v>
      </c>
      <c r="C75" s="29">
        <v>0.2</v>
      </c>
      <c r="D75" s="37">
        <f>(IF($D$71&lt;1000000,(($D$71-500000)*20%),100000))</f>
        <v>-100000</v>
      </c>
      <c r="E75" s="5"/>
    </row>
    <row r="76" spans="1:5" ht="14.5" x14ac:dyDescent="0.25">
      <c r="A76" s="9"/>
      <c r="B76" s="24" t="s">
        <v>601</v>
      </c>
      <c r="C76" s="29">
        <v>0.3</v>
      </c>
      <c r="D76" s="37">
        <f>IF($D$71&gt;1000000,(($D$71-1000000)*30%),0)</f>
        <v>0</v>
      </c>
      <c r="E76" s="50"/>
    </row>
    <row r="77" spans="1:5" ht="14.5" x14ac:dyDescent="0.25">
      <c r="A77" s="9"/>
      <c r="B77" s="24"/>
      <c r="C77" s="29"/>
      <c r="D77" s="37"/>
      <c r="E77" s="5"/>
    </row>
    <row r="78" spans="1:5" ht="14.5" x14ac:dyDescent="0.25">
      <c r="A78" s="9"/>
      <c r="B78" s="24" t="s">
        <v>602</v>
      </c>
      <c r="C78" s="29"/>
      <c r="D78" s="37">
        <f>$D$74+$D$75+$D$76</f>
        <v>-120000</v>
      </c>
      <c r="E78" s="5"/>
    </row>
    <row r="79" spans="1:5" ht="14.5" x14ac:dyDescent="0.25">
      <c r="A79" s="9"/>
      <c r="B79" s="24" t="s">
        <v>603</v>
      </c>
      <c r="C79" s="29"/>
      <c r="D79" s="37">
        <f>$D$78*3%</f>
        <v>-3600</v>
      </c>
      <c r="E79" s="5"/>
    </row>
    <row r="80" spans="1:5" ht="14.5" x14ac:dyDescent="0.25">
      <c r="A80" s="9"/>
      <c r="B80" s="24"/>
      <c r="C80" s="29"/>
      <c r="D80" s="37"/>
      <c r="E80" s="5"/>
    </row>
    <row r="81" spans="1:5" ht="15" thickBot="1" x14ac:dyDescent="0.4">
      <c r="A81" s="9"/>
      <c r="B81" s="53" t="s">
        <v>604</v>
      </c>
      <c r="C81" s="54"/>
      <c r="D81" s="23">
        <v>-123600</v>
      </c>
      <c r="E81" s="5"/>
    </row>
    <row r="82" spans="1:5" ht="13" thickBot="1" x14ac:dyDescent="0.3">
      <c r="A82" s="55"/>
      <c r="B82" s="51"/>
      <c r="C82" s="51"/>
      <c r="D82" s="51"/>
      <c r="E82" s="52"/>
    </row>
  </sheetData>
  <mergeCells count="1">
    <mergeCell ref="B1:D1"/>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147"/>
  <sheetViews>
    <sheetView workbookViewId="0">
      <selection activeCell="A11" sqref="A11"/>
    </sheetView>
  </sheetViews>
  <sheetFormatPr defaultColWidth="9.1796875" defaultRowHeight="12.5" x14ac:dyDescent="0.25"/>
  <cols>
    <col min="1" max="1" width="59.26953125" style="60" customWidth="1"/>
    <col min="2" max="2" width="72.7265625" style="60" bestFit="1" customWidth="1"/>
    <col min="3" max="7" width="11.81640625" style="60" customWidth="1"/>
    <col min="8" max="256" width="9.1796875" style="60"/>
    <col min="257" max="257" width="59.26953125" style="60" customWidth="1"/>
    <col min="258" max="263" width="11.81640625" style="60" customWidth="1"/>
    <col min="264" max="512" width="9.1796875" style="60"/>
    <col min="513" max="513" width="59.26953125" style="60" customWidth="1"/>
    <col min="514" max="519" width="11.81640625" style="60" customWidth="1"/>
    <col min="520" max="768" width="9.1796875" style="60"/>
    <col min="769" max="769" width="59.26953125" style="60" customWidth="1"/>
    <col min="770" max="775" width="11.81640625" style="60" customWidth="1"/>
    <col min="776" max="1024" width="9.1796875" style="60"/>
    <col min="1025" max="1025" width="59.26953125" style="60" customWidth="1"/>
    <col min="1026" max="1031" width="11.81640625" style="60" customWidth="1"/>
    <col min="1032" max="1280" width="9.1796875" style="60"/>
    <col min="1281" max="1281" width="59.26953125" style="60" customWidth="1"/>
    <col min="1282" max="1287" width="11.81640625" style="60" customWidth="1"/>
    <col min="1288" max="1536" width="9.1796875" style="60"/>
    <col min="1537" max="1537" width="59.26953125" style="60" customWidth="1"/>
    <col min="1538" max="1543" width="11.81640625" style="60" customWidth="1"/>
    <col min="1544" max="1792" width="9.1796875" style="60"/>
    <col min="1793" max="1793" width="59.26953125" style="60" customWidth="1"/>
    <col min="1794" max="1799" width="11.81640625" style="60" customWidth="1"/>
    <col min="1800" max="2048" width="9.1796875" style="60"/>
    <col min="2049" max="2049" width="59.26953125" style="60" customWidth="1"/>
    <col min="2050" max="2055" width="11.81640625" style="60" customWidth="1"/>
    <col min="2056" max="2304" width="9.1796875" style="60"/>
    <col min="2305" max="2305" width="59.26953125" style="60" customWidth="1"/>
    <col min="2306" max="2311" width="11.81640625" style="60" customWidth="1"/>
    <col min="2312" max="2560" width="9.1796875" style="60"/>
    <col min="2561" max="2561" width="59.26953125" style="60" customWidth="1"/>
    <col min="2562" max="2567" width="11.81640625" style="60" customWidth="1"/>
    <col min="2568" max="2816" width="9.1796875" style="60"/>
    <col min="2817" max="2817" width="59.26953125" style="60" customWidth="1"/>
    <col min="2818" max="2823" width="11.81640625" style="60" customWidth="1"/>
    <col min="2824" max="3072" width="9.1796875" style="60"/>
    <col min="3073" max="3073" width="59.26953125" style="60" customWidth="1"/>
    <col min="3074" max="3079" width="11.81640625" style="60" customWidth="1"/>
    <col min="3080" max="3328" width="9.1796875" style="60"/>
    <col min="3329" max="3329" width="59.26953125" style="60" customWidth="1"/>
    <col min="3330" max="3335" width="11.81640625" style="60" customWidth="1"/>
    <col min="3336" max="3584" width="9.1796875" style="60"/>
    <col min="3585" max="3585" width="59.26953125" style="60" customWidth="1"/>
    <col min="3586" max="3591" width="11.81640625" style="60" customWidth="1"/>
    <col min="3592" max="3840" width="9.1796875" style="60"/>
    <col min="3841" max="3841" width="59.26953125" style="60" customWidth="1"/>
    <col min="3842" max="3847" width="11.81640625" style="60" customWidth="1"/>
    <col min="3848" max="4096" width="9.1796875" style="60"/>
    <col min="4097" max="4097" width="59.26953125" style="60" customWidth="1"/>
    <col min="4098" max="4103" width="11.81640625" style="60" customWidth="1"/>
    <col min="4104" max="4352" width="9.1796875" style="60"/>
    <col min="4353" max="4353" width="59.26953125" style="60" customWidth="1"/>
    <col min="4354" max="4359" width="11.81640625" style="60" customWidth="1"/>
    <col min="4360" max="4608" width="9.1796875" style="60"/>
    <col min="4609" max="4609" width="59.26953125" style="60" customWidth="1"/>
    <col min="4610" max="4615" width="11.81640625" style="60" customWidth="1"/>
    <col min="4616" max="4864" width="9.1796875" style="60"/>
    <col min="4865" max="4865" width="59.26953125" style="60" customWidth="1"/>
    <col min="4866" max="4871" width="11.81640625" style="60" customWidth="1"/>
    <col min="4872" max="5120" width="9.1796875" style="60"/>
    <col min="5121" max="5121" width="59.26953125" style="60" customWidth="1"/>
    <col min="5122" max="5127" width="11.81640625" style="60" customWidth="1"/>
    <col min="5128" max="5376" width="9.1796875" style="60"/>
    <col min="5377" max="5377" width="59.26953125" style="60" customWidth="1"/>
    <col min="5378" max="5383" width="11.81640625" style="60" customWidth="1"/>
    <col min="5384" max="5632" width="9.1796875" style="60"/>
    <col min="5633" max="5633" width="59.26953125" style="60" customWidth="1"/>
    <col min="5634" max="5639" width="11.81640625" style="60" customWidth="1"/>
    <col min="5640" max="5888" width="9.1796875" style="60"/>
    <col min="5889" max="5889" width="59.26953125" style="60" customWidth="1"/>
    <col min="5890" max="5895" width="11.81640625" style="60" customWidth="1"/>
    <col min="5896" max="6144" width="9.1796875" style="60"/>
    <col min="6145" max="6145" width="59.26953125" style="60" customWidth="1"/>
    <col min="6146" max="6151" width="11.81640625" style="60" customWidth="1"/>
    <col min="6152" max="6400" width="9.1796875" style="60"/>
    <col min="6401" max="6401" width="59.26953125" style="60" customWidth="1"/>
    <col min="6402" max="6407" width="11.81640625" style="60" customWidth="1"/>
    <col min="6408" max="6656" width="9.1796875" style="60"/>
    <col min="6657" max="6657" width="59.26953125" style="60" customWidth="1"/>
    <col min="6658" max="6663" width="11.81640625" style="60" customWidth="1"/>
    <col min="6664" max="6912" width="9.1796875" style="60"/>
    <col min="6913" max="6913" width="59.26953125" style="60" customWidth="1"/>
    <col min="6914" max="6919" width="11.81640625" style="60" customWidth="1"/>
    <col min="6920" max="7168" width="9.1796875" style="60"/>
    <col min="7169" max="7169" width="59.26953125" style="60" customWidth="1"/>
    <col min="7170" max="7175" width="11.81640625" style="60" customWidth="1"/>
    <col min="7176" max="7424" width="9.1796875" style="60"/>
    <col min="7425" max="7425" width="59.26953125" style="60" customWidth="1"/>
    <col min="7426" max="7431" width="11.81640625" style="60" customWidth="1"/>
    <col min="7432" max="7680" width="9.1796875" style="60"/>
    <col min="7681" max="7681" width="59.26953125" style="60" customWidth="1"/>
    <col min="7682" max="7687" width="11.81640625" style="60" customWidth="1"/>
    <col min="7688" max="7936" width="9.1796875" style="60"/>
    <col min="7937" max="7937" width="59.26953125" style="60" customWidth="1"/>
    <col min="7938" max="7943" width="11.81640625" style="60" customWidth="1"/>
    <col min="7944" max="8192" width="9.1796875" style="60"/>
    <col min="8193" max="8193" width="59.26953125" style="60" customWidth="1"/>
    <col min="8194" max="8199" width="11.81640625" style="60" customWidth="1"/>
    <col min="8200" max="8448" width="9.1796875" style="60"/>
    <col min="8449" max="8449" width="59.26953125" style="60" customWidth="1"/>
    <col min="8450" max="8455" width="11.81640625" style="60" customWidth="1"/>
    <col min="8456" max="8704" width="9.1796875" style="60"/>
    <col min="8705" max="8705" width="59.26953125" style="60" customWidth="1"/>
    <col min="8706" max="8711" width="11.81640625" style="60" customWidth="1"/>
    <col min="8712" max="8960" width="9.1796875" style="60"/>
    <col min="8961" max="8961" width="59.26953125" style="60" customWidth="1"/>
    <col min="8962" max="8967" width="11.81640625" style="60" customWidth="1"/>
    <col min="8968" max="9216" width="9.1796875" style="60"/>
    <col min="9217" max="9217" width="59.26953125" style="60" customWidth="1"/>
    <col min="9218" max="9223" width="11.81640625" style="60" customWidth="1"/>
    <col min="9224" max="9472" width="9.1796875" style="60"/>
    <col min="9473" max="9473" width="59.26953125" style="60" customWidth="1"/>
    <col min="9474" max="9479" width="11.81640625" style="60" customWidth="1"/>
    <col min="9480" max="9728" width="9.1796875" style="60"/>
    <col min="9729" max="9729" width="59.26953125" style="60" customWidth="1"/>
    <col min="9730" max="9735" width="11.81640625" style="60" customWidth="1"/>
    <col min="9736" max="9984" width="9.1796875" style="60"/>
    <col min="9985" max="9985" width="59.26953125" style="60" customWidth="1"/>
    <col min="9986" max="9991" width="11.81640625" style="60" customWidth="1"/>
    <col min="9992" max="10240" width="9.1796875" style="60"/>
    <col min="10241" max="10241" width="59.26953125" style="60" customWidth="1"/>
    <col min="10242" max="10247" width="11.81640625" style="60" customWidth="1"/>
    <col min="10248" max="10496" width="9.1796875" style="60"/>
    <col min="10497" max="10497" width="59.26953125" style="60" customWidth="1"/>
    <col min="10498" max="10503" width="11.81640625" style="60" customWidth="1"/>
    <col min="10504" max="10752" width="9.1796875" style="60"/>
    <col min="10753" max="10753" width="59.26953125" style="60" customWidth="1"/>
    <col min="10754" max="10759" width="11.81640625" style="60" customWidth="1"/>
    <col min="10760" max="11008" width="9.1796875" style="60"/>
    <col min="11009" max="11009" width="59.26953125" style="60" customWidth="1"/>
    <col min="11010" max="11015" width="11.81640625" style="60" customWidth="1"/>
    <col min="11016" max="11264" width="9.1796875" style="60"/>
    <col min="11265" max="11265" width="59.26953125" style="60" customWidth="1"/>
    <col min="11266" max="11271" width="11.81640625" style="60" customWidth="1"/>
    <col min="11272" max="11520" width="9.1796875" style="60"/>
    <col min="11521" max="11521" width="59.26953125" style="60" customWidth="1"/>
    <col min="11522" max="11527" width="11.81640625" style="60" customWidth="1"/>
    <col min="11528" max="11776" width="9.1796875" style="60"/>
    <col min="11777" max="11777" width="59.26953125" style="60" customWidth="1"/>
    <col min="11778" max="11783" width="11.81640625" style="60" customWidth="1"/>
    <col min="11784" max="12032" width="9.1796875" style="60"/>
    <col min="12033" max="12033" width="59.26953125" style="60" customWidth="1"/>
    <col min="12034" max="12039" width="11.81640625" style="60" customWidth="1"/>
    <col min="12040" max="12288" width="9.1796875" style="60"/>
    <col min="12289" max="12289" width="59.26953125" style="60" customWidth="1"/>
    <col min="12290" max="12295" width="11.81640625" style="60" customWidth="1"/>
    <col min="12296" max="12544" width="9.1796875" style="60"/>
    <col min="12545" max="12545" width="59.26953125" style="60" customWidth="1"/>
    <col min="12546" max="12551" width="11.81640625" style="60" customWidth="1"/>
    <col min="12552" max="12800" width="9.1796875" style="60"/>
    <col min="12801" max="12801" width="59.26953125" style="60" customWidth="1"/>
    <col min="12802" max="12807" width="11.81640625" style="60" customWidth="1"/>
    <col min="12808" max="13056" width="9.1796875" style="60"/>
    <col min="13057" max="13057" width="59.26953125" style="60" customWidth="1"/>
    <col min="13058" max="13063" width="11.81640625" style="60" customWidth="1"/>
    <col min="13064" max="13312" width="9.1796875" style="60"/>
    <col min="13313" max="13313" width="59.26953125" style="60" customWidth="1"/>
    <col min="13314" max="13319" width="11.81640625" style="60" customWidth="1"/>
    <col min="13320" max="13568" width="9.1796875" style="60"/>
    <col min="13569" max="13569" width="59.26953125" style="60" customWidth="1"/>
    <col min="13570" max="13575" width="11.81640625" style="60" customWidth="1"/>
    <col min="13576" max="13824" width="9.1796875" style="60"/>
    <col min="13825" max="13825" width="59.26953125" style="60" customWidth="1"/>
    <col min="13826" max="13831" width="11.81640625" style="60" customWidth="1"/>
    <col min="13832" max="14080" width="9.1796875" style="60"/>
    <col min="14081" max="14081" width="59.26953125" style="60" customWidth="1"/>
    <col min="14082" max="14087" width="11.81640625" style="60" customWidth="1"/>
    <col min="14088" max="14336" width="9.1796875" style="60"/>
    <col min="14337" max="14337" width="59.26953125" style="60" customWidth="1"/>
    <col min="14338" max="14343" width="11.81640625" style="60" customWidth="1"/>
    <col min="14344" max="14592" width="9.1796875" style="60"/>
    <col min="14593" max="14593" width="59.26953125" style="60" customWidth="1"/>
    <col min="14594" max="14599" width="11.81640625" style="60" customWidth="1"/>
    <col min="14600" max="14848" width="9.1796875" style="60"/>
    <col min="14849" max="14849" width="59.26953125" style="60" customWidth="1"/>
    <col min="14850" max="14855" width="11.81640625" style="60" customWidth="1"/>
    <col min="14856" max="15104" width="9.1796875" style="60"/>
    <col min="15105" max="15105" width="59.26953125" style="60" customWidth="1"/>
    <col min="15106" max="15111" width="11.81640625" style="60" customWidth="1"/>
    <col min="15112" max="15360" width="9.1796875" style="60"/>
    <col min="15361" max="15361" width="59.26953125" style="60" customWidth="1"/>
    <col min="15362" max="15367" width="11.81640625" style="60" customWidth="1"/>
    <col min="15368" max="15616" width="9.1796875" style="60"/>
    <col min="15617" max="15617" width="59.26953125" style="60" customWidth="1"/>
    <col min="15618" max="15623" width="11.81640625" style="60" customWidth="1"/>
    <col min="15624" max="15872" width="9.1796875" style="60"/>
    <col min="15873" max="15873" width="59.26953125" style="60" customWidth="1"/>
    <col min="15874" max="15879" width="11.81640625" style="60" customWidth="1"/>
    <col min="15880" max="16128" width="9.1796875" style="60"/>
    <col min="16129" max="16129" width="59.26953125" style="60" customWidth="1"/>
    <col min="16130" max="16135" width="11.81640625" style="60" customWidth="1"/>
    <col min="16136" max="16384" width="9.1796875" style="60"/>
  </cols>
  <sheetData>
    <row r="1" spans="1:6" ht="18.649999999999999" customHeight="1" x14ac:dyDescent="0.25">
      <c r="A1" s="384" t="s">
        <v>605</v>
      </c>
      <c r="B1" s="384"/>
      <c r="C1" s="384"/>
      <c r="D1" s="384"/>
      <c r="E1" s="384"/>
      <c r="F1" s="384"/>
    </row>
    <row r="2" spans="1:6" ht="18.649999999999999" customHeight="1" x14ac:dyDescent="0.25">
      <c r="A2" s="83" t="s">
        <v>606</v>
      </c>
      <c r="F2" s="61"/>
    </row>
    <row r="3" spans="1:6" ht="18.649999999999999" customHeight="1" x14ac:dyDescent="0.25">
      <c r="A3" s="60" t="s">
        <v>607</v>
      </c>
      <c r="B3" s="62" t="s">
        <v>608</v>
      </c>
      <c r="F3" s="61"/>
    </row>
    <row r="4" spans="1:6" ht="18.649999999999999" customHeight="1" x14ac:dyDescent="0.25">
      <c r="A4" s="60" t="s">
        <v>609</v>
      </c>
      <c r="B4" s="62" t="s">
        <v>610</v>
      </c>
      <c r="C4" s="62"/>
      <c r="F4" s="61"/>
    </row>
    <row r="5" spans="1:6" ht="18.649999999999999" customHeight="1" x14ac:dyDescent="0.25">
      <c r="F5" s="61"/>
    </row>
    <row r="6" spans="1:6" ht="18.649999999999999" customHeight="1" x14ac:dyDescent="0.25">
      <c r="A6" s="63" t="s">
        <v>611</v>
      </c>
      <c r="F6" s="61"/>
    </row>
    <row r="7" spans="1:6" ht="18.649999999999999" customHeight="1" x14ac:dyDescent="0.25">
      <c r="F7" s="61"/>
    </row>
    <row r="8" spans="1:6" ht="18.649999999999999" customHeight="1" x14ac:dyDescent="0.25">
      <c r="A8" s="81" t="s">
        <v>612</v>
      </c>
      <c r="B8" s="64" t="e">
        <f>#REF!</f>
        <v>#REF!</v>
      </c>
      <c r="C8" s="62"/>
      <c r="F8" s="61"/>
    </row>
    <row r="9" spans="1:6" ht="18.649999999999999" customHeight="1" x14ac:dyDescent="0.25">
      <c r="A9" s="81" t="s">
        <v>152</v>
      </c>
      <c r="B9" s="80" t="str">
        <f>'2. Business - Project details'!B47</f>
        <v>India</v>
      </c>
      <c r="F9" s="61"/>
    </row>
    <row r="10" spans="1:6" ht="18.649999999999999" customHeight="1" x14ac:dyDescent="0.25">
      <c r="A10" s="81" t="s">
        <v>613</v>
      </c>
      <c r="B10" s="62">
        <f>'2. Business - Project details'!B48</f>
        <v>0</v>
      </c>
      <c r="F10" s="61"/>
    </row>
    <row r="11" spans="1:6" ht="18.649999999999999" customHeight="1" x14ac:dyDescent="0.25">
      <c r="A11" s="81" t="s">
        <v>614</v>
      </c>
      <c r="B11" s="62" t="e">
        <f>#REF!</f>
        <v>#REF!</v>
      </c>
      <c r="F11" s="61"/>
    </row>
    <row r="12" spans="1:6" ht="18.649999999999999" customHeight="1" x14ac:dyDescent="0.25">
      <c r="A12" s="81" t="s">
        <v>615</v>
      </c>
      <c r="B12" s="62">
        <f>'2. Business - Project details'!B48</f>
        <v>0</v>
      </c>
      <c r="F12" s="61"/>
    </row>
    <row r="13" spans="1:6" ht="18.649999999999999" customHeight="1" x14ac:dyDescent="0.25">
      <c r="A13" s="81" t="s">
        <v>616</v>
      </c>
      <c r="B13" s="64" t="e">
        <f>#REF!</f>
        <v>#REF!</v>
      </c>
      <c r="F13" s="61"/>
    </row>
    <row r="14" spans="1:6" ht="18.649999999999999" customHeight="1" x14ac:dyDescent="0.25">
      <c r="B14" s="65"/>
      <c r="F14" s="61"/>
    </row>
    <row r="15" spans="1:6" ht="18.649999999999999" customHeight="1" x14ac:dyDescent="0.25">
      <c r="A15" s="81" t="s">
        <v>617</v>
      </c>
      <c r="B15" s="62" t="e">
        <f>#REF!</f>
        <v>#REF!</v>
      </c>
      <c r="C15" s="62"/>
    </row>
    <row r="16" spans="1:6" ht="18.649999999999999" customHeight="1" x14ac:dyDescent="0.25">
      <c r="A16" s="81" t="s">
        <v>618</v>
      </c>
      <c r="B16" s="62">
        <f>'2. Business - Project details'!B61</f>
        <v>0</v>
      </c>
      <c r="C16" s="62"/>
    </row>
    <row r="17" spans="1:4" ht="18.649999999999999" customHeight="1" x14ac:dyDescent="0.25"/>
    <row r="18" spans="1:4" ht="18.649999999999999" customHeight="1" x14ac:dyDescent="0.25">
      <c r="A18" s="81" t="s">
        <v>619</v>
      </c>
      <c r="B18" s="62" t="e">
        <f>'2. Business - Project details'!#REF!</f>
        <v>#REF!</v>
      </c>
      <c r="C18" s="62"/>
    </row>
    <row r="19" spans="1:4" ht="18.649999999999999" customHeight="1" x14ac:dyDescent="0.25">
      <c r="A19" s="81" t="s">
        <v>620</v>
      </c>
      <c r="B19" s="62" t="e">
        <f>'2. Business - Project details'!#REF!</f>
        <v>#REF!</v>
      </c>
      <c r="C19" s="62"/>
    </row>
    <row r="20" spans="1:4" ht="18.649999999999999" customHeight="1" x14ac:dyDescent="0.25">
      <c r="A20" s="81" t="s">
        <v>621</v>
      </c>
      <c r="B20" s="62" t="e">
        <f>'2. Business - Project details'!#REF!</f>
        <v>#REF!</v>
      </c>
      <c r="C20" s="62"/>
    </row>
    <row r="21" spans="1:4" ht="18.649999999999999" customHeight="1" x14ac:dyDescent="0.25"/>
    <row r="22" spans="1:4" ht="18.649999999999999" customHeight="1" x14ac:dyDescent="0.25">
      <c r="A22" s="60" t="s">
        <v>622</v>
      </c>
      <c r="B22" s="62" t="s">
        <v>610</v>
      </c>
      <c r="C22" s="62"/>
    </row>
    <row r="23" spans="1:4" ht="18.649999999999999" customHeight="1" x14ac:dyDescent="0.25">
      <c r="A23" s="60" t="s">
        <v>623</v>
      </c>
      <c r="B23" s="62" t="s">
        <v>11</v>
      </c>
      <c r="C23" s="62"/>
    </row>
    <row r="24" spans="1:4" ht="18.649999999999999" customHeight="1" x14ac:dyDescent="0.25">
      <c r="A24" s="60" t="s">
        <v>623</v>
      </c>
      <c r="B24" s="62" t="s">
        <v>624</v>
      </c>
      <c r="C24" s="62"/>
    </row>
    <row r="25" spans="1:4" ht="18.649999999999999" customHeight="1" x14ac:dyDescent="0.25"/>
    <row r="26" spans="1:4" ht="18.649999999999999" customHeight="1" x14ac:dyDescent="0.25">
      <c r="A26" s="60" t="s">
        <v>625</v>
      </c>
      <c r="B26" s="62" t="s">
        <v>626</v>
      </c>
      <c r="C26" s="62"/>
      <c r="D26" s="62"/>
    </row>
    <row r="27" spans="1:4" ht="18.649999999999999" customHeight="1" x14ac:dyDescent="0.25">
      <c r="A27" s="60" t="s">
        <v>627</v>
      </c>
      <c r="B27" s="62" t="s">
        <v>628</v>
      </c>
      <c r="C27" s="62"/>
      <c r="D27" s="62"/>
    </row>
    <row r="28" spans="1:4" ht="18.649999999999999" customHeight="1" x14ac:dyDescent="0.25"/>
    <row r="29" spans="1:4" ht="18.649999999999999" customHeight="1" x14ac:dyDescent="0.25">
      <c r="A29" s="81" t="s">
        <v>629</v>
      </c>
      <c r="B29" s="62" t="e">
        <f>#REF!</f>
        <v>#REF!</v>
      </c>
      <c r="C29" s="62"/>
    </row>
    <row r="30" spans="1:4" ht="18.649999999999999" customHeight="1" x14ac:dyDescent="0.25">
      <c r="A30" s="81" t="s">
        <v>630</v>
      </c>
      <c r="B30" s="62" t="e">
        <f>#REF!</f>
        <v>#REF!</v>
      </c>
      <c r="C30" s="62"/>
    </row>
    <row r="31" spans="1:4" ht="18.649999999999999" customHeight="1" x14ac:dyDescent="0.25">
      <c r="A31" s="81" t="s">
        <v>631</v>
      </c>
      <c r="B31" s="62" t="e">
        <f>#REF!</f>
        <v>#REF!</v>
      </c>
      <c r="C31" s="62"/>
    </row>
    <row r="32" spans="1:4" ht="18.649999999999999" customHeight="1" x14ac:dyDescent="0.25"/>
    <row r="33" spans="1:7" ht="18.649999999999999" customHeight="1" x14ac:dyDescent="0.25">
      <c r="A33" s="60" t="s">
        <v>632</v>
      </c>
      <c r="B33" s="62" t="s">
        <v>633</v>
      </c>
      <c r="C33" s="62"/>
      <c r="D33" s="62"/>
      <c r="F33" s="61"/>
    </row>
    <row r="34" spans="1:7" ht="18.649999999999999" customHeight="1" x14ac:dyDescent="0.25">
      <c r="A34" s="60" t="s">
        <v>634</v>
      </c>
      <c r="B34" s="62" t="s">
        <v>635</v>
      </c>
      <c r="C34" s="62"/>
      <c r="D34" s="62"/>
      <c r="E34" s="62"/>
      <c r="F34" s="61"/>
    </row>
    <row r="35" spans="1:7" ht="18.649999999999999" customHeight="1" x14ac:dyDescent="0.25">
      <c r="A35" s="82" t="s">
        <v>636</v>
      </c>
      <c r="B35" s="62" t="s">
        <v>637</v>
      </c>
      <c r="F35" s="61"/>
    </row>
    <row r="36" spans="1:7" ht="18.649999999999999" customHeight="1" x14ac:dyDescent="0.25">
      <c r="A36" s="60" t="s">
        <v>638</v>
      </c>
      <c r="B36" s="62" t="s">
        <v>639</v>
      </c>
      <c r="C36" s="62"/>
      <c r="D36" s="62"/>
      <c r="E36" s="62"/>
      <c r="F36" s="66"/>
      <c r="G36" s="62"/>
    </row>
    <row r="37" spans="1:7" ht="18.649999999999999" customHeight="1" x14ac:dyDescent="0.25">
      <c r="A37" s="60" t="s">
        <v>640</v>
      </c>
      <c r="B37" s="62" t="s">
        <v>641</v>
      </c>
      <c r="C37" s="62"/>
      <c r="D37" s="62"/>
      <c r="E37" s="62"/>
      <c r="F37" s="66"/>
      <c r="G37" s="62"/>
    </row>
    <row r="38" spans="1:7" ht="18.649999999999999" customHeight="1" x14ac:dyDescent="0.25">
      <c r="F38" s="61"/>
    </row>
    <row r="39" spans="1:7" ht="18.649999999999999" customHeight="1" x14ac:dyDescent="0.25">
      <c r="A39" s="60" t="s">
        <v>642</v>
      </c>
      <c r="B39" s="62" t="s">
        <v>643</v>
      </c>
      <c r="C39" s="62"/>
      <c r="F39" s="61"/>
    </row>
    <row r="40" spans="1:7" ht="18.649999999999999" customHeight="1" x14ac:dyDescent="0.25">
      <c r="A40" s="60" t="s">
        <v>644</v>
      </c>
      <c r="B40" s="61"/>
      <c r="F40" s="61"/>
    </row>
    <row r="41" spans="1:7" ht="18.649999999999999" customHeight="1" x14ac:dyDescent="0.25">
      <c r="A41" s="60" t="s">
        <v>645</v>
      </c>
      <c r="B41" s="66">
        <v>2</v>
      </c>
      <c r="F41" s="61"/>
    </row>
    <row r="42" spans="1:7" ht="18.649999999999999" customHeight="1" x14ac:dyDescent="0.25">
      <c r="A42" s="60" t="s">
        <v>646</v>
      </c>
      <c r="B42" s="66">
        <v>3</v>
      </c>
      <c r="F42" s="61"/>
    </row>
    <row r="43" spans="1:7" ht="18.649999999999999" customHeight="1" x14ac:dyDescent="0.25">
      <c r="A43" s="67" t="s">
        <v>647</v>
      </c>
      <c r="B43" s="66">
        <v>12</v>
      </c>
      <c r="F43" s="61"/>
    </row>
    <row r="44" spans="1:7" ht="18.649999999999999" customHeight="1" x14ac:dyDescent="0.25">
      <c r="A44" s="67"/>
      <c r="B44" s="61"/>
      <c r="F44" s="61"/>
    </row>
    <row r="45" spans="1:7" ht="18.649999999999999" customHeight="1" x14ac:dyDescent="0.25">
      <c r="A45" s="67" t="s">
        <v>648</v>
      </c>
      <c r="B45" s="68">
        <v>2500</v>
      </c>
      <c r="F45" s="61"/>
    </row>
    <row r="46" spans="1:7" ht="18.649999999999999" customHeight="1" x14ac:dyDescent="0.25">
      <c r="A46" s="67" t="s">
        <v>649</v>
      </c>
      <c r="B46" s="68">
        <v>2500</v>
      </c>
      <c r="F46" s="61"/>
    </row>
    <row r="47" spans="1:7" ht="18.649999999999999" customHeight="1" x14ac:dyDescent="0.25">
      <c r="A47" s="67"/>
      <c r="B47" s="68"/>
      <c r="F47" s="61"/>
    </row>
    <row r="48" spans="1:7" ht="18.649999999999999" customHeight="1" x14ac:dyDescent="0.25">
      <c r="A48" s="67" t="s">
        <v>650</v>
      </c>
      <c r="B48" s="68">
        <v>25000.000000000022</v>
      </c>
      <c r="F48" s="61"/>
    </row>
    <row r="49" spans="1:6" ht="18.649999999999999" customHeight="1" x14ac:dyDescent="0.25">
      <c r="A49" s="67"/>
      <c r="B49" s="68"/>
      <c r="F49" s="61"/>
    </row>
    <row r="50" spans="1:6" ht="18.649999999999999" customHeight="1" x14ac:dyDescent="0.25">
      <c r="A50" s="60" t="s">
        <v>651</v>
      </c>
      <c r="B50" s="61"/>
      <c r="F50" s="61"/>
    </row>
    <row r="51" spans="1:6" ht="18.649999999999999" customHeight="1" x14ac:dyDescent="0.25">
      <c r="A51" s="60" t="s">
        <v>652</v>
      </c>
      <c r="B51" s="68">
        <v>2</v>
      </c>
      <c r="F51" s="61"/>
    </row>
    <row r="52" spans="1:6" ht="18.649999999999999" customHeight="1" x14ac:dyDescent="0.25">
      <c r="A52" s="60" t="s">
        <v>653</v>
      </c>
      <c r="B52" s="68">
        <v>0</v>
      </c>
      <c r="F52" s="61"/>
    </row>
    <row r="53" spans="1:6" ht="18.649999999999999" customHeight="1" x14ac:dyDescent="0.25">
      <c r="A53" s="60" t="s">
        <v>654</v>
      </c>
      <c r="B53" s="68">
        <v>1</v>
      </c>
      <c r="F53" s="61"/>
    </row>
    <row r="54" spans="1:6" ht="18.649999999999999" customHeight="1" x14ac:dyDescent="0.25">
      <c r="B54" s="69"/>
      <c r="F54" s="61"/>
    </row>
    <row r="55" spans="1:6" ht="18.649999999999999" customHeight="1" x14ac:dyDescent="0.25">
      <c r="A55" s="60" t="s">
        <v>655</v>
      </c>
      <c r="B55" s="68">
        <v>2</v>
      </c>
      <c r="F55" s="61"/>
    </row>
    <row r="56" spans="1:6" ht="18.649999999999999" customHeight="1" x14ac:dyDescent="0.25">
      <c r="F56" s="61"/>
    </row>
    <row r="57" spans="1:6" ht="18.649999999999999" customHeight="1" x14ac:dyDescent="0.25">
      <c r="F57" s="61"/>
    </row>
    <row r="58" spans="1:6" ht="18.649999999999999" customHeight="1" x14ac:dyDescent="0.25">
      <c r="A58" s="81" t="s">
        <v>656</v>
      </c>
      <c r="B58" s="66" t="e">
        <f>#REF!</f>
        <v>#REF!</v>
      </c>
      <c r="F58" s="61"/>
    </row>
    <row r="59" spans="1:6" ht="18.649999999999999" customHeight="1" x14ac:dyDescent="0.25">
      <c r="A59" s="60" t="s">
        <v>657</v>
      </c>
      <c r="B59" s="66" t="s">
        <v>658</v>
      </c>
      <c r="F59" s="61"/>
    </row>
    <row r="60" spans="1:6" ht="18.649999999999999" customHeight="1" x14ac:dyDescent="0.25">
      <c r="B60" s="66"/>
      <c r="F60" s="61"/>
    </row>
    <row r="61" spans="1:6" ht="18.649999999999999" customHeight="1" x14ac:dyDescent="0.25">
      <c r="A61" s="60" t="s">
        <v>659</v>
      </c>
      <c r="B61" s="61"/>
      <c r="F61" s="61"/>
    </row>
    <row r="62" spans="1:6" ht="18.649999999999999" customHeight="1" x14ac:dyDescent="0.25">
      <c r="A62" s="81" t="s">
        <v>660</v>
      </c>
      <c r="B62" s="66" t="e">
        <f>#REF!</f>
        <v>#REF!</v>
      </c>
      <c r="F62" s="61"/>
    </row>
    <row r="63" spans="1:6" ht="18.649999999999999" customHeight="1" x14ac:dyDescent="0.25">
      <c r="A63" s="60" t="s">
        <v>661</v>
      </c>
      <c r="B63" s="66">
        <v>50000</v>
      </c>
      <c r="F63" s="61"/>
    </row>
    <row r="64" spans="1:6" ht="18.649999999999999" customHeight="1" x14ac:dyDescent="0.25">
      <c r="A64" s="60" t="s">
        <v>662</v>
      </c>
      <c r="B64" s="62">
        <v>0</v>
      </c>
      <c r="F64" s="61"/>
    </row>
    <row r="65" spans="1:6" ht="18.649999999999999" customHeight="1" x14ac:dyDescent="0.25">
      <c r="A65" s="60" t="s">
        <v>663</v>
      </c>
      <c r="B65" s="62" t="s">
        <v>664</v>
      </c>
      <c r="C65" s="62"/>
      <c r="F65" s="61"/>
    </row>
    <row r="66" spans="1:6" ht="18.649999999999999" customHeight="1" x14ac:dyDescent="0.25">
      <c r="A66" s="60" t="s">
        <v>665</v>
      </c>
      <c r="B66" s="62">
        <v>0</v>
      </c>
      <c r="F66" s="61"/>
    </row>
    <row r="67" spans="1:6" ht="18.649999999999999" customHeight="1" x14ac:dyDescent="0.25">
      <c r="A67" s="60" t="s">
        <v>663</v>
      </c>
      <c r="B67" s="62" t="s">
        <v>664</v>
      </c>
      <c r="C67" s="62"/>
      <c r="F67" s="61"/>
    </row>
    <row r="68" spans="1:6" ht="18.649999999999999" customHeight="1" x14ac:dyDescent="0.25">
      <c r="A68" s="60" t="s">
        <v>666</v>
      </c>
      <c r="B68" s="66">
        <v>10000</v>
      </c>
      <c r="C68" s="62"/>
      <c r="F68" s="61"/>
    </row>
    <row r="69" spans="1:6" ht="18.649999999999999" customHeight="1" x14ac:dyDescent="0.25">
      <c r="A69" s="60" t="s">
        <v>663</v>
      </c>
      <c r="B69" s="62" t="s">
        <v>664</v>
      </c>
      <c r="C69" s="62"/>
      <c r="F69" s="61"/>
    </row>
    <row r="70" spans="1:6" ht="18.649999999999999" customHeight="1" x14ac:dyDescent="0.25">
      <c r="B70" s="61"/>
      <c r="F70" s="61"/>
    </row>
    <row r="71" spans="1:6" ht="18.649999999999999" customHeight="1" x14ac:dyDescent="0.25">
      <c r="F71" s="61"/>
    </row>
    <row r="72" spans="1:6" ht="18.649999999999999" customHeight="1" x14ac:dyDescent="0.25">
      <c r="A72" s="63" t="s">
        <v>667</v>
      </c>
      <c r="F72" s="61"/>
    </row>
    <row r="73" spans="1:6" ht="18.649999999999999" customHeight="1" x14ac:dyDescent="0.25">
      <c r="F73" s="61"/>
    </row>
    <row r="74" spans="1:6" ht="18.649999999999999" customHeight="1" x14ac:dyDescent="0.25">
      <c r="A74" s="60" t="s">
        <v>668</v>
      </c>
      <c r="B74" s="70">
        <v>0.8</v>
      </c>
    </row>
    <row r="75" spans="1:6" ht="18.649999999999999" customHeight="1" x14ac:dyDescent="0.25">
      <c r="A75" s="60" t="s">
        <v>669</v>
      </c>
      <c r="B75" s="70">
        <v>100</v>
      </c>
    </row>
    <row r="76" spans="1:6" ht="18.649999999999999" customHeight="1" x14ac:dyDescent="0.25">
      <c r="A76" s="60" t="s">
        <v>670</v>
      </c>
      <c r="B76" s="70" t="s">
        <v>671</v>
      </c>
      <c r="C76" s="62"/>
    </row>
    <row r="77" spans="1:6" ht="18.649999999999999" customHeight="1" x14ac:dyDescent="0.25">
      <c r="B77" s="61"/>
    </row>
    <row r="78" spans="1:6" ht="18.649999999999999" customHeight="1" x14ac:dyDescent="0.25"/>
    <row r="79" spans="1:6" ht="18.649999999999999" customHeight="1" x14ac:dyDescent="0.25">
      <c r="A79" s="63" t="s">
        <v>672</v>
      </c>
    </row>
    <row r="80" spans="1:6" ht="18.649999999999999" customHeight="1" x14ac:dyDescent="0.25"/>
    <row r="81" spans="1:2" ht="18.649999999999999" customHeight="1" x14ac:dyDescent="0.25">
      <c r="A81" s="71" t="s">
        <v>673</v>
      </c>
    </row>
    <row r="82" spans="1:2" ht="18.649999999999999" customHeight="1" x14ac:dyDescent="0.25">
      <c r="A82" s="72" t="s">
        <v>674</v>
      </c>
    </row>
    <row r="83" spans="1:2" ht="18.649999999999999" customHeight="1" x14ac:dyDescent="0.25">
      <c r="A83" s="60" t="s">
        <v>675</v>
      </c>
      <c r="B83" s="66">
        <v>10000</v>
      </c>
    </row>
    <row r="84" spans="1:2" ht="18.649999999999999" customHeight="1" x14ac:dyDescent="0.25">
      <c r="A84" s="60" t="s">
        <v>676</v>
      </c>
      <c r="B84" s="66">
        <v>20000</v>
      </c>
    </row>
    <row r="85" spans="1:2" ht="18.649999999999999" customHeight="1" x14ac:dyDescent="0.25">
      <c r="A85" s="60" t="s">
        <v>677</v>
      </c>
      <c r="B85" s="73">
        <v>2013</v>
      </c>
    </row>
    <row r="86" spans="1:2" ht="18.649999999999999" customHeight="1" x14ac:dyDescent="0.25">
      <c r="B86" s="61"/>
    </row>
    <row r="87" spans="1:2" ht="18.649999999999999" customHeight="1" x14ac:dyDescent="0.25">
      <c r="A87" s="71" t="s">
        <v>678</v>
      </c>
    </row>
    <row r="88" spans="1:2" ht="18.649999999999999" customHeight="1" x14ac:dyDescent="0.25">
      <c r="A88" s="72" t="s">
        <v>674</v>
      </c>
    </row>
    <row r="89" spans="1:2" ht="18.649999999999999" customHeight="1" x14ac:dyDescent="0.25">
      <c r="A89" s="60" t="s">
        <v>675</v>
      </c>
      <c r="B89" s="66">
        <v>15000</v>
      </c>
    </row>
    <row r="90" spans="1:2" ht="18.649999999999999" customHeight="1" x14ac:dyDescent="0.25">
      <c r="A90" s="60" t="s">
        <v>676</v>
      </c>
      <c r="B90" s="66">
        <v>30000</v>
      </c>
    </row>
    <row r="91" spans="1:2" ht="18.649999999999999" customHeight="1" x14ac:dyDescent="0.25">
      <c r="B91" s="66"/>
    </row>
    <row r="92" spans="1:2" ht="18.649999999999999" customHeight="1" x14ac:dyDescent="0.25">
      <c r="B92" s="61"/>
    </row>
    <row r="93" spans="1:2" ht="18.649999999999999" customHeight="1" x14ac:dyDescent="0.25">
      <c r="A93" s="63" t="s">
        <v>679</v>
      </c>
    </row>
    <row r="94" spans="1:2" ht="18.649999999999999" customHeight="1" x14ac:dyDescent="0.25">
      <c r="A94" s="60" t="s">
        <v>680</v>
      </c>
      <c r="B94" s="62" t="s">
        <v>681</v>
      </c>
    </row>
    <row r="95" spans="1:2" ht="46.15" customHeight="1" x14ac:dyDescent="0.25">
      <c r="A95" s="74" t="s">
        <v>682</v>
      </c>
      <c r="B95" s="75">
        <v>0.4</v>
      </c>
    </row>
    <row r="96" spans="1:2" ht="18.649999999999999" customHeight="1" x14ac:dyDescent="0.25">
      <c r="A96" s="60" t="s">
        <v>683</v>
      </c>
      <c r="B96" s="66">
        <v>1000000</v>
      </c>
    </row>
    <row r="97" spans="1:3" ht="18.649999999999999" customHeight="1" x14ac:dyDescent="0.25">
      <c r="A97" s="60" t="s">
        <v>684</v>
      </c>
      <c r="B97" s="76">
        <v>110</v>
      </c>
    </row>
    <row r="98" spans="1:3" ht="18.649999999999999" customHeight="1" x14ac:dyDescent="0.25">
      <c r="A98" s="60" t="s">
        <v>685</v>
      </c>
      <c r="B98" s="76">
        <v>1.1000000000000001</v>
      </c>
    </row>
    <row r="99" spans="1:3" ht="18.649999999999999" customHeight="1" x14ac:dyDescent="0.25">
      <c r="A99" s="60" t="s">
        <v>686</v>
      </c>
      <c r="B99" s="77">
        <v>0.17499999999999999</v>
      </c>
    </row>
    <row r="100" spans="1:3" ht="18.649999999999999" customHeight="1" x14ac:dyDescent="0.25">
      <c r="A100" s="60" t="s">
        <v>687</v>
      </c>
      <c r="B100" s="66">
        <v>1000</v>
      </c>
    </row>
    <row r="101" spans="1:3" ht="18.649999999999999" customHeight="1" x14ac:dyDescent="0.25">
      <c r="A101" s="60" t="s">
        <v>688</v>
      </c>
      <c r="B101" s="62" t="s">
        <v>689</v>
      </c>
      <c r="C101" s="62"/>
    </row>
    <row r="102" spans="1:3" ht="18.649999999999999" customHeight="1" x14ac:dyDescent="0.25">
      <c r="A102" s="60" t="s">
        <v>690</v>
      </c>
      <c r="B102" s="66">
        <v>15000</v>
      </c>
    </row>
    <row r="103" spans="1:3" ht="18.649999999999999" customHeight="1" x14ac:dyDescent="0.25">
      <c r="B103" s="61"/>
    </row>
    <row r="104" spans="1:3" ht="18.649999999999999" customHeight="1" x14ac:dyDescent="0.25">
      <c r="B104" s="61"/>
    </row>
    <row r="105" spans="1:3" ht="18.649999999999999" customHeight="1" x14ac:dyDescent="0.25">
      <c r="B105" s="61"/>
    </row>
    <row r="106" spans="1:3" ht="18.649999999999999" customHeight="1" x14ac:dyDescent="0.25">
      <c r="A106" s="63" t="s">
        <v>691</v>
      </c>
      <c r="B106" s="61"/>
    </row>
    <row r="107" spans="1:3" ht="18.649999999999999" customHeight="1" x14ac:dyDescent="0.25">
      <c r="B107" s="61"/>
    </row>
    <row r="108" spans="1:3" ht="18.649999999999999" customHeight="1" x14ac:dyDescent="0.25">
      <c r="A108" s="60" t="s">
        <v>692</v>
      </c>
      <c r="B108" s="61"/>
    </row>
    <row r="109" spans="1:3" ht="18.649999999999999" customHeight="1" x14ac:dyDescent="0.25">
      <c r="A109" s="78" t="s">
        <v>693</v>
      </c>
      <c r="B109" s="68">
        <v>100</v>
      </c>
    </row>
    <row r="110" spans="1:3" ht="18.649999999999999" customHeight="1" x14ac:dyDescent="0.25">
      <c r="A110" s="78" t="s">
        <v>694</v>
      </c>
      <c r="B110" s="68">
        <v>200</v>
      </c>
    </row>
    <row r="111" spans="1:3" ht="18.649999999999999" customHeight="1" x14ac:dyDescent="0.25">
      <c r="A111" s="78" t="s">
        <v>695</v>
      </c>
      <c r="B111" s="68">
        <v>300</v>
      </c>
    </row>
    <row r="112" spans="1:3" ht="18.649999999999999" customHeight="1" x14ac:dyDescent="0.25">
      <c r="A112" s="78" t="s">
        <v>696</v>
      </c>
      <c r="B112" s="68">
        <v>400</v>
      </c>
    </row>
    <row r="113" spans="1:2" ht="18.649999999999999" customHeight="1" x14ac:dyDescent="0.25">
      <c r="A113" s="78"/>
      <c r="B113" s="69"/>
    </row>
    <row r="114" spans="1:2" ht="18.649999999999999" customHeight="1" x14ac:dyDescent="0.25">
      <c r="A114" s="67" t="s">
        <v>697</v>
      </c>
      <c r="B114" s="69"/>
    </row>
    <row r="115" spans="1:2" ht="18.649999999999999" customHeight="1" x14ac:dyDescent="0.25">
      <c r="A115" s="67" t="s">
        <v>698</v>
      </c>
      <c r="B115" s="68">
        <v>110</v>
      </c>
    </row>
    <row r="116" spans="1:2" ht="18.649999999999999" customHeight="1" x14ac:dyDescent="0.25">
      <c r="A116" s="67" t="s">
        <v>699</v>
      </c>
      <c r="B116" s="68">
        <v>120</v>
      </c>
    </row>
    <row r="117" spans="1:2" ht="18.649999999999999" customHeight="1" x14ac:dyDescent="0.25"/>
    <row r="118" spans="1:2" ht="18.649999999999999" customHeight="1" x14ac:dyDescent="0.25">
      <c r="A118" s="78"/>
      <c r="B118" s="61"/>
    </row>
    <row r="119" spans="1:2" ht="18.649999999999999" customHeight="1" x14ac:dyDescent="0.25">
      <c r="A119" s="63" t="s">
        <v>700</v>
      </c>
      <c r="B119" s="61"/>
    </row>
    <row r="120" spans="1:2" ht="18.649999999999999" customHeight="1" x14ac:dyDescent="0.25">
      <c r="A120" s="60" t="s">
        <v>701</v>
      </c>
    </row>
    <row r="121" spans="1:2" ht="18.649999999999999" customHeight="1" x14ac:dyDescent="0.25">
      <c r="A121" s="60" t="s">
        <v>702</v>
      </c>
      <c r="B121" s="68">
        <v>5372</v>
      </c>
    </row>
    <row r="122" spans="1:2" ht="18.649999999999999" customHeight="1" x14ac:dyDescent="0.25">
      <c r="A122" s="60" t="s">
        <v>703</v>
      </c>
      <c r="B122" s="68">
        <v>2754</v>
      </c>
    </row>
    <row r="123" spans="1:2" ht="18.649999999999999" customHeight="1" x14ac:dyDescent="0.25">
      <c r="A123" s="60" t="s">
        <v>704</v>
      </c>
      <c r="B123" s="68">
        <v>10000</v>
      </c>
    </row>
    <row r="124" spans="1:2" ht="18.649999999999999" customHeight="1" x14ac:dyDescent="0.25">
      <c r="A124" s="60" t="s">
        <v>705</v>
      </c>
      <c r="B124" s="68" t="s">
        <v>706</v>
      </c>
    </row>
    <row r="125" spans="1:2" ht="18.649999999999999" customHeight="1" x14ac:dyDescent="0.25"/>
    <row r="126" spans="1:2" ht="18.649999999999999" customHeight="1" x14ac:dyDescent="0.25"/>
    <row r="127" spans="1:2" ht="18.649999999999999" customHeight="1" x14ac:dyDescent="0.25">
      <c r="A127" s="63" t="s">
        <v>707</v>
      </c>
    </row>
    <row r="128" spans="1:2" ht="18.649999999999999" customHeight="1" x14ac:dyDescent="0.25">
      <c r="A128" s="60" t="s">
        <v>708</v>
      </c>
    </row>
    <row r="129" spans="1:2" ht="18.649999999999999" customHeight="1" x14ac:dyDescent="0.25">
      <c r="A129" s="60" t="s">
        <v>709</v>
      </c>
      <c r="B129" s="76">
        <v>10</v>
      </c>
    </row>
    <row r="130" spans="1:2" ht="18.649999999999999" customHeight="1" x14ac:dyDescent="0.25">
      <c r="A130" s="60" t="s">
        <v>710</v>
      </c>
      <c r="B130" s="76">
        <v>20</v>
      </c>
    </row>
    <row r="131" spans="1:2" ht="18.649999999999999" customHeight="1" x14ac:dyDescent="0.25">
      <c r="A131" s="60" t="s">
        <v>711</v>
      </c>
      <c r="B131" s="76">
        <v>30</v>
      </c>
    </row>
    <row r="132" spans="1:2" ht="18.649999999999999" customHeight="1" x14ac:dyDescent="0.25">
      <c r="A132" s="60" t="s">
        <v>712</v>
      </c>
      <c r="B132" s="76">
        <v>35</v>
      </c>
    </row>
    <row r="133" spans="1:2" ht="18.649999999999999" customHeight="1" x14ac:dyDescent="0.25"/>
    <row r="134" spans="1:2" ht="18.649999999999999" customHeight="1" x14ac:dyDescent="0.25">
      <c r="A134" s="60" t="s">
        <v>713</v>
      </c>
    </row>
    <row r="135" spans="1:2" ht="18.649999999999999" customHeight="1" x14ac:dyDescent="0.25">
      <c r="A135" s="60" t="s">
        <v>709</v>
      </c>
      <c r="B135" s="76">
        <v>40</v>
      </c>
    </row>
    <row r="136" spans="1:2" ht="18.649999999999999" customHeight="1" x14ac:dyDescent="0.25">
      <c r="A136" s="60" t="s">
        <v>714</v>
      </c>
      <c r="B136" s="76">
        <v>50</v>
      </c>
    </row>
    <row r="137" spans="1:2" ht="18.649999999999999" customHeight="1" x14ac:dyDescent="0.25">
      <c r="A137" s="60" t="s">
        <v>715</v>
      </c>
      <c r="B137" s="76">
        <v>60</v>
      </c>
    </row>
    <row r="138" spans="1:2" ht="18.649999999999999" customHeight="1" x14ac:dyDescent="0.25">
      <c r="A138" s="60" t="s">
        <v>712</v>
      </c>
      <c r="B138" s="76">
        <v>65</v>
      </c>
    </row>
    <row r="139" spans="1:2" ht="18.649999999999999" customHeight="1" x14ac:dyDescent="0.25"/>
    <row r="140" spans="1:2" ht="18.649999999999999" customHeight="1" x14ac:dyDescent="0.25">
      <c r="A140" s="63" t="s">
        <v>716</v>
      </c>
    </row>
    <row r="141" spans="1:2" ht="18.649999999999999" customHeight="1" x14ac:dyDescent="0.25">
      <c r="A141" s="79" t="s">
        <v>717</v>
      </c>
      <c r="B141" s="76">
        <v>70</v>
      </c>
    </row>
    <row r="142" spans="1:2" ht="18.649999999999999" customHeight="1" x14ac:dyDescent="0.25">
      <c r="A142" s="60" t="s">
        <v>718</v>
      </c>
      <c r="B142" s="76">
        <v>80</v>
      </c>
    </row>
    <row r="143" spans="1:2" ht="18.649999999999999" customHeight="1" x14ac:dyDescent="0.25"/>
    <row r="144" spans="1:2" ht="18.649999999999999" customHeight="1" x14ac:dyDescent="0.25"/>
    <row r="145" spans="1:2" ht="18.649999999999999" customHeight="1" x14ac:dyDescent="0.25"/>
    <row r="146" spans="1:2" ht="18.649999999999999" customHeight="1" x14ac:dyDescent="0.25"/>
    <row r="147" spans="1:2" ht="18.649999999999999" customHeight="1" x14ac:dyDescent="0.25">
      <c r="A147" s="60" t="s">
        <v>719</v>
      </c>
      <c r="B147" s="65">
        <v>41807</v>
      </c>
    </row>
  </sheetData>
  <mergeCells count="1">
    <mergeCell ref="A1:F1"/>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'https://sp.myatos.net/Users/A553823/AppData/Local/Microsoft/Windows/Temporary Internet Files/Content.Outlook/BCM85P6X/To Do/[New EDS_V1 (2).xlsx]Feuil1'!#REF!</xm:f>
          </x14:formula1>
          <xm:sqref>B39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E35"/>
  <sheetViews>
    <sheetView zoomScaleNormal="100" workbookViewId="0"/>
  </sheetViews>
  <sheetFormatPr defaultColWidth="11.453125" defaultRowHeight="12.5" x14ac:dyDescent="0.25"/>
  <cols>
    <col min="1" max="1" width="40.81640625" style="194" customWidth="1"/>
    <col min="2" max="2" width="35.26953125" style="194" customWidth="1"/>
    <col min="3" max="3" width="38" style="194" customWidth="1"/>
    <col min="4" max="4" width="0.26953125" style="194" customWidth="1"/>
    <col min="5" max="5" width="2" style="194" customWidth="1"/>
    <col min="6" max="16384" width="11.453125" style="194"/>
  </cols>
  <sheetData>
    <row r="1" spans="1:5" ht="42.75" customHeight="1" x14ac:dyDescent="0.3">
      <c r="A1" s="120"/>
      <c r="B1" s="192" t="s">
        <v>720</v>
      </c>
      <c r="C1" s="120"/>
      <c r="D1" s="120"/>
      <c r="E1" s="193"/>
    </row>
    <row r="2" spans="1:5" ht="15.75" customHeight="1" x14ac:dyDescent="0.25">
      <c r="A2" s="93"/>
      <c r="B2" s="87"/>
      <c r="C2" s="93"/>
      <c r="D2" s="93"/>
      <c r="E2" s="94"/>
    </row>
    <row r="3" spans="1:5" ht="14.5" x14ac:dyDescent="0.35">
      <c r="A3" s="195" t="s">
        <v>63</v>
      </c>
      <c r="B3" s="196"/>
      <c r="C3" s="196"/>
      <c r="D3" s="197"/>
      <c r="E3" s="94"/>
    </row>
    <row r="4" spans="1:5" ht="14.5" x14ac:dyDescent="0.35">
      <c r="A4" s="198" t="s">
        <v>124</v>
      </c>
      <c r="B4" s="199"/>
      <c r="C4" s="199"/>
      <c r="D4" s="200"/>
      <c r="E4" s="94"/>
    </row>
    <row r="5" spans="1:5" ht="14.5" x14ac:dyDescent="0.35">
      <c r="A5" s="201" t="s">
        <v>64</v>
      </c>
      <c r="B5" s="199"/>
      <c r="C5" s="199"/>
      <c r="D5" s="200"/>
      <c r="E5" s="94"/>
    </row>
    <row r="6" spans="1:5" ht="14.5" x14ac:dyDescent="0.35">
      <c r="A6" s="202" t="s">
        <v>177</v>
      </c>
      <c r="B6" s="203"/>
      <c r="C6" s="203"/>
      <c r="D6" s="204"/>
      <c r="E6" s="94"/>
    </row>
    <row r="7" spans="1:5" ht="15.5" x14ac:dyDescent="0.35">
      <c r="A7" s="3"/>
      <c r="B7" s="86"/>
      <c r="C7" s="86"/>
      <c r="D7" s="93"/>
      <c r="E7" s="94"/>
    </row>
    <row r="8" spans="1:5" ht="13.5" customHeight="1" x14ac:dyDescent="0.25">
      <c r="A8" s="218" t="s">
        <v>68</v>
      </c>
      <c r="B8" s="205" t="s">
        <v>67</v>
      </c>
      <c r="C8" s="205" t="s">
        <v>69</v>
      </c>
      <c r="D8" s="93"/>
      <c r="E8" s="94"/>
    </row>
    <row r="9" spans="1:5" ht="13.5" customHeight="1" x14ac:dyDescent="0.25">
      <c r="A9" s="206">
        <f>+'1. Employee - Personal  Data'!B19</f>
        <v>0</v>
      </c>
      <c r="B9" s="206">
        <f>+'1. Employee - Personal  Data'!B21:F21</f>
        <v>0</v>
      </c>
      <c r="C9" s="206">
        <f>+'1. Employee - Personal  Data'!B16</f>
        <v>0</v>
      </c>
      <c r="D9" s="93"/>
      <c r="E9" s="94"/>
    </row>
    <row r="10" spans="1:5" ht="13.5" customHeight="1" x14ac:dyDescent="0.25">
      <c r="A10" s="205" t="s">
        <v>721</v>
      </c>
      <c r="B10" s="207" t="s">
        <v>722</v>
      </c>
      <c r="C10" s="207" t="s">
        <v>723</v>
      </c>
      <c r="D10" s="93"/>
      <c r="E10" s="94"/>
    </row>
    <row r="11" spans="1:5" ht="13.5" customHeight="1" x14ac:dyDescent="0.25">
      <c r="A11" s="208" t="str">
        <f>+'2. Business - Project details'!B47</f>
        <v>India</v>
      </c>
      <c r="B11" s="208">
        <f>+'2. Business - Project details'!B16:D16</f>
        <v>0</v>
      </c>
      <c r="C11" s="206">
        <f>+'1. Employee - Personal  Data'!B25</f>
        <v>0</v>
      </c>
      <c r="D11" s="93"/>
      <c r="E11" s="94"/>
    </row>
    <row r="12" spans="1:5" ht="13.5" customHeight="1" x14ac:dyDescent="0.25">
      <c r="A12" s="205" t="s">
        <v>724</v>
      </c>
      <c r="B12" s="205" t="s">
        <v>725</v>
      </c>
      <c r="C12" s="205" t="s">
        <v>726</v>
      </c>
      <c r="D12" s="93"/>
      <c r="E12" s="94"/>
    </row>
    <row r="13" spans="1:5" ht="13.5" customHeight="1" x14ac:dyDescent="0.25">
      <c r="A13" s="209">
        <f>+'2. Business - Project details'!B13</f>
        <v>0</v>
      </c>
      <c r="B13" s="209">
        <f>+'2. Business - Project details'!B14:D14</f>
        <v>0</v>
      </c>
      <c r="C13" s="206">
        <f>+'1. Employee - Personal  Data'!B43:F43</f>
        <v>0</v>
      </c>
      <c r="D13" s="93"/>
      <c r="E13" s="94"/>
    </row>
    <row r="14" spans="1:5" ht="15.5" x14ac:dyDescent="0.35">
      <c r="A14" s="121"/>
      <c r="B14" s="121"/>
      <c r="C14" s="121"/>
      <c r="D14" s="93"/>
      <c r="E14" s="94"/>
    </row>
    <row r="15" spans="1:5" ht="15.5" x14ac:dyDescent="0.35">
      <c r="A15" s="210"/>
      <c r="B15" s="93"/>
      <c r="C15" s="93"/>
      <c r="D15" s="93"/>
      <c r="E15" s="94"/>
    </row>
    <row r="16" spans="1:5" ht="35.25" customHeight="1" x14ac:dyDescent="0.25">
      <c r="A16" s="219" t="s">
        <v>727</v>
      </c>
      <c r="B16" s="388" t="str">
        <f>+CONCATENATE('1. Employee - Personal  Data'!B19:F19,", ",'1. Employee - Personal  Data'!B21:F21)</f>
        <v xml:space="preserve">, </v>
      </c>
      <c r="C16" s="389"/>
      <c r="D16" s="93"/>
      <c r="E16" s="94"/>
    </row>
    <row r="17" spans="1:5" ht="26.5" customHeight="1" x14ac:dyDescent="0.25">
      <c r="A17" s="219" t="s">
        <v>728</v>
      </c>
      <c r="B17" s="390">
        <f>+'1. Employee - Personal  Data'!B25</f>
        <v>0</v>
      </c>
      <c r="C17" s="326"/>
      <c r="D17" s="93"/>
      <c r="E17" s="94"/>
    </row>
    <row r="18" spans="1:5" ht="26.5" customHeight="1" x14ac:dyDescent="0.25">
      <c r="A18" s="219" t="s">
        <v>119</v>
      </c>
      <c r="B18" s="388">
        <f>+'1. Employee - Personal  Data'!B70</f>
        <v>0</v>
      </c>
      <c r="C18" s="389"/>
      <c r="D18" s="93"/>
      <c r="E18" s="94"/>
    </row>
    <row r="19" spans="1:5" ht="30" customHeight="1" x14ac:dyDescent="0.25">
      <c r="A19" s="219" t="s">
        <v>120</v>
      </c>
      <c r="B19" s="388">
        <f>+'1. Employee - Personal  Data'!B71</f>
        <v>0</v>
      </c>
      <c r="C19" s="389"/>
      <c r="D19" s="93"/>
      <c r="E19" s="94"/>
    </row>
    <row r="20" spans="1:5" ht="19.5" customHeight="1" x14ac:dyDescent="0.25">
      <c r="A20" s="219" t="s">
        <v>121</v>
      </c>
      <c r="B20" s="388">
        <f>+'1. Employee - Personal  Data'!B72</f>
        <v>0</v>
      </c>
      <c r="C20" s="389"/>
      <c r="D20" s="93"/>
      <c r="E20" s="94"/>
    </row>
    <row r="21" spans="1:5" ht="33" customHeight="1" x14ac:dyDescent="0.25">
      <c r="A21" s="220" t="s">
        <v>729</v>
      </c>
      <c r="B21" s="391">
        <f>+'2. Business - Project details'!B13:D13</f>
        <v>0</v>
      </c>
      <c r="C21" s="392"/>
      <c r="D21" s="93"/>
      <c r="E21" s="94"/>
    </row>
    <row r="22" spans="1:5" ht="33" customHeight="1" x14ac:dyDescent="0.25">
      <c r="A22" s="220" t="s">
        <v>730</v>
      </c>
      <c r="B22" s="393">
        <f>+'2. Business - Project details'!B37</f>
        <v>0</v>
      </c>
      <c r="C22" s="394"/>
      <c r="D22" s="93"/>
      <c r="E22" s="94"/>
    </row>
    <row r="23" spans="1:5" ht="33" customHeight="1" x14ac:dyDescent="0.25">
      <c r="A23" s="220" t="s">
        <v>170</v>
      </c>
      <c r="B23" s="395">
        <f>+'2. Business - Project details'!B73:C73</f>
        <v>0</v>
      </c>
      <c r="C23" s="396"/>
      <c r="D23" s="93"/>
      <c r="E23" s="94"/>
    </row>
    <row r="24" spans="1:5" ht="14.5" x14ac:dyDescent="0.25">
      <c r="A24" s="212"/>
      <c r="B24" s="212"/>
      <c r="C24" s="397"/>
      <c r="D24" s="397"/>
      <c r="E24" s="94"/>
    </row>
    <row r="25" spans="1:5" ht="46.5" customHeight="1" x14ac:dyDescent="0.25">
      <c r="A25" s="385" t="s">
        <v>171</v>
      </c>
      <c r="B25" s="386"/>
      <c r="C25" s="387"/>
      <c r="D25" s="93"/>
      <c r="E25" s="94"/>
    </row>
    <row r="26" spans="1:5" ht="55.5" customHeight="1" x14ac:dyDescent="0.25">
      <c r="A26" s="398" t="str">
        <f>+'2. Business - Project details'!A75:C75</f>
        <v>Please select from the drop down menu</v>
      </c>
      <c r="B26" s="399"/>
      <c r="C26" s="400"/>
      <c r="D26" s="93"/>
      <c r="E26" s="94"/>
    </row>
    <row r="27" spans="1:5" ht="46.5" customHeight="1" x14ac:dyDescent="0.25">
      <c r="A27" s="385" t="s">
        <v>172</v>
      </c>
      <c r="B27" s="386"/>
      <c r="C27" s="387"/>
      <c r="D27" s="93"/>
      <c r="E27" s="94"/>
    </row>
    <row r="28" spans="1:5" ht="169.5" customHeight="1" x14ac:dyDescent="0.25">
      <c r="A28" s="395">
        <f>+'2. Business - Project details'!A77:C77</f>
        <v>0</v>
      </c>
      <c r="B28" s="396"/>
      <c r="C28" s="401"/>
      <c r="D28" s="93"/>
      <c r="E28" s="94"/>
    </row>
    <row r="29" spans="1:5" ht="39" customHeight="1" x14ac:dyDescent="0.25">
      <c r="A29" s="385" t="s">
        <v>122</v>
      </c>
      <c r="B29" s="386" t="s">
        <v>99</v>
      </c>
      <c r="C29" s="387"/>
      <c r="D29" s="93"/>
      <c r="E29" s="94"/>
    </row>
    <row r="30" spans="1:5" ht="39" customHeight="1" x14ac:dyDescent="0.25">
      <c r="A30" s="398" t="str">
        <f>+'1. Employee - Personal  Data'!A75:C75</f>
        <v>Please select from the drop down menu</v>
      </c>
      <c r="B30" s="399"/>
      <c r="C30" s="400"/>
      <c r="D30" s="93"/>
      <c r="E30" s="94"/>
    </row>
    <row r="31" spans="1:5" ht="45.75" customHeight="1" x14ac:dyDescent="0.25">
      <c r="A31" s="385" t="s">
        <v>173</v>
      </c>
      <c r="B31" s="386"/>
      <c r="C31" s="387"/>
      <c r="D31" s="93"/>
      <c r="E31" s="94"/>
    </row>
    <row r="32" spans="1:5" ht="50.25" customHeight="1" x14ac:dyDescent="0.25">
      <c r="A32" s="398" t="str">
        <f>+'2. Business - Project details'!A79:C79</f>
        <v>Please select from the drop down menu</v>
      </c>
      <c r="B32" s="399"/>
      <c r="C32" s="400"/>
      <c r="D32" s="93"/>
      <c r="E32" s="94"/>
    </row>
    <row r="33" spans="1:5" ht="81" customHeight="1" x14ac:dyDescent="0.25">
      <c r="A33" s="385" t="s">
        <v>174</v>
      </c>
      <c r="B33" s="386"/>
      <c r="C33" s="387"/>
      <c r="D33" s="93"/>
      <c r="E33" s="94"/>
    </row>
    <row r="34" spans="1:5" ht="51" customHeight="1" x14ac:dyDescent="0.25">
      <c r="A34" s="398" t="str">
        <f>+'2. Business - Project details'!A81:C81</f>
        <v>Please select from the drop down menu</v>
      </c>
      <c r="B34" s="399"/>
      <c r="C34" s="400"/>
      <c r="D34" s="93"/>
      <c r="E34" s="94"/>
    </row>
    <row r="35" spans="1:5" ht="13" thickBot="1" x14ac:dyDescent="0.3">
      <c r="A35" s="214"/>
      <c r="B35" s="214"/>
      <c r="C35" s="214"/>
      <c r="D35" s="214"/>
      <c r="E35" s="215"/>
    </row>
  </sheetData>
  <sheetProtection selectLockedCells="1"/>
  <mergeCells count="19">
    <mergeCell ref="A34:C34"/>
    <mergeCell ref="A28:C28"/>
    <mergeCell ref="A29:C29"/>
    <mergeCell ref="A30:C30"/>
    <mergeCell ref="A31:C31"/>
    <mergeCell ref="A32:C32"/>
    <mergeCell ref="A33:C33"/>
    <mergeCell ref="A27:C27"/>
    <mergeCell ref="B16:C16"/>
    <mergeCell ref="B17:C17"/>
    <mergeCell ref="B18:C18"/>
    <mergeCell ref="B19:C19"/>
    <mergeCell ref="B20:C20"/>
    <mergeCell ref="B21:C21"/>
    <mergeCell ref="B22:C22"/>
    <mergeCell ref="B23:C23"/>
    <mergeCell ref="C24:D24"/>
    <mergeCell ref="A25:C25"/>
    <mergeCell ref="A26:C26"/>
  </mergeCells>
  <dataValidations count="1">
    <dataValidation type="list" allowBlank="1" showInputMessage="1" showErrorMessage="1" sqref="B29:C29 A32:C32 A30:C30 A34:C34 A26:C26" xr:uid="{00000000-0002-0000-0900-000000000000}">
      <formula1>"Please select from the drop down menu,yes,no"</formula1>
    </dataValidation>
  </dataValidations>
  <pageMargins left="0.7" right="0.7" top="0.75" bottom="0.75" header="0.3" footer="0.3"/>
  <pageSetup paperSize="9" scale="74"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2:R389"/>
  <sheetViews>
    <sheetView workbookViewId="0"/>
  </sheetViews>
  <sheetFormatPr defaultColWidth="9.1796875" defaultRowHeight="12.5" x14ac:dyDescent="0.25"/>
  <cols>
    <col min="1" max="1" width="48.26953125" bestFit="1" customWidth="1"/>
    <col min="2" max="2" width="20" bestFit="1" customWidth="1"/>
    <col min="3" max="3" width="31.26953125" bestFit="1" customWidth="1"/>
    <col min="4" max="4" width="34.81640625" bestFit="1" customWidth="1"/>
    <col min="5" max="5" width="41.7265625" bestFit="1" customWidth="1"/>
    <col min="6" max="6" width="52" bestFit="1" customWidth="1"/>
    <col min="7" max="7" width="74.453125" bestFit="1" customWidth="1"/>
    <col min="8" max="8" width="28.1796875" bestFit="1" customWidth="1"/>
  </cols>
  <sheetData>
    <row r="2" spans="1:18" s="149" customFormat="1" ht="43.5" customHeight="1" x14ac:dyDescent="0.25">
      <c r="A2" s="148" t="s">
        <v>731</v>
      </c>
      <c r="B2" s="148" t="s">
        <v>718</v>
      </c>
      <c r="C2" s="148" t="s">
        <v>732</v>
      </c>
      <c r="D2" s="148" t="s">
        <v>733</v>
      </c>
      <c r="E2" s="148"/>
      <c r="F2" s="148" t="s">
        <v>734</v>
      </c>
      <c r="G2" s="148" t="s">
        <v>638</v>
      </c>
      <c r="H2" s="148" t="s">
        <v>735</v>
      </c>
      <c r="I2" s="148"/>
      <c r="J2" s="148"/>
      <c r="K2" s="148"/>
      <c r="L2" s="148"/>
      <c r="M2" s="148"/>
      <c r="N2" s="148"/>
      <c r="O2" s="148"/>
      <c r="P2" s="148"/>
      <c r="Q2" s="148"/>
      <c r="R2" s="148"/>
    </row>
    <row r="3" spans="1:18" x14ac:dyDescent="0.25">
      <c r="A3" s="180" t="s">
        <v>736</v>
      </c>
      <c r="B3" t="s">
        <v>737</v>
      </c>
      <c r="C3" t="s">
        <v>738</v>
      </c>
      <c r="D3" t="s">
        <v>99</v>
      </c>
      <c r="E3" s="180" t="s">
        <v>262</v>
      </c>
      <c r="F3" s="181" t="s">
        <v>736</v>
      </c>
      <c r="G3" t="s">
        <v>739</v>
      </c>
      <c r="H3" s="181" t="s">
        <v>740</v>
      </c>
    </row>
    <row r="4" spans="1:18" x14ac:dyDescent="0.25">
      <c r="A4" s="180" t="s">
        <v>741</v>
      </c>
      <c r="B4" t="s">
        <v>742</v>
      </c>
      <c r="C4" t="s">
        <v>743</v>
      </c>
      <c r="D4" t="s">
        <v>744</v>
      </c>
      <c r="E4" s="180" t="s">
        <v>745</v>
      </c>
      <c r="F4" s="181" t="s">
        <v>741</v>
      </c>
      <c r="G4" t="s">
        <v>746</v>
      </c>
      <c r="H4" s="181" t="s">
        <v>747</v>
      </c>
    </row>
    <row r="5" spans="1:18" x14ac:dyDescent="0.25">
      <c r="A5" s="180" t="s">
        <v>748</v>
      </c>
      <c r="B5" t="s">
        <v>749</v>
      </c>
      <c r="C5" t="s">
        <v>750</v>
      </c>
      <c r="D5" t="s">
        <v>751</v>
      </c>
      <c r="E5" s="180" t="s">
        <v>266</v>
      </c>
      <c r="F5" s="181" t="s">
        <v>748</v>
      </c>
      <c r="G5" t="s">
        <v>752</v>
      </c>
      <c r="H5" t="s">
        <v>155</v>
      </c>
    </row>
    <row r="6" spans="1:18" x14ac:dyDescent="0.25">
      <c r="A6" s="180" t="s">
        <v>753</v>
      </c>
      <c r="B6" t="s">
        <v>754</v>
      </c>
      <c r="D6" t="s">
        <v>755</v>
      </c>
      <c r="E6" s="180" t="s">
        <v>269</v>
      </c>
      <c r="F6" s="181" t="s">
        <v>753</v>
      </c>
      <c r="G6" t="s">
        <v>756</v>
      </c>
      <c r="H6" t="s">
        <v>757</v>
      </c>
    </row>
    <row r="7" spans="1:18" x14ac:dyDescent="0.25">
      <c r="A7" s="180" t="s">
        <v>758</v>
      </c>
      <c r="B7" t="s">
        <v>759</v>
      </c>
      <c r="D7" t="s">
        <v>760</v>
      </c>
      <c r="E7" s="180" t="s">
        <v>761</v>
      </c>
      <c r="F7" s="181" t="s">
        <v>758</v>
      </c>
      <c r="G7" t="s">
        <v>762</v>
      </c>
      <c r="H7" t="s">
        <v>763</v>
      </c>
    </row>
    <row r="8" spans="1:18" x14ac:dyDescent="0.25">
      <c r="A8" s="180" t="s">
        <v>764</v>
      </c>
      <c r="B8" t="s">
        <v>765</v>
      </c>
      <c r="D8" t="s">
        <v>766</v>
      </c>
      <c r="E8" s="180" t="s">
        <v>272</v>
      </c>
      <c r="F8" s="181" t="s">
        <v>764</v>
      </c>
      <c r="G8" t="s">
        <v>767</v>
      </c>
      <c r="H8" t="s">
        <v>768</v>
      </c>
    </row>
    <row r="9" spans="1:18" x14ac:dyDescent="0.25">
      <c r="A9" s="180" t="s">
        <v>769</v>
      </c>
      <c r="B9" t="s">
        <v>770</v>
      </c>
      <c r="D9" t="s">
        <v>771</v>
      </c>
      <c r="E9" s="180" t="s">
        <v>275</v>
      </c>
      <c r="F9" s="181" t="s">
        <v>769</v>
      </c>
      <c r="G9" t="s">
        <v>772</v>
      </c>
      <c r="H9" t="s">
        <v>773</v>
      </c>
    </row>
    <row r="10" spans="1:18" x14ac:dyDescent="0.25">
      <c r="A10" s="180" t="s">
        <v>774</v>
      </c>
      <c r="B10" t="s">
        <v>775</v>
      </c>
      <c r="D10" t="s">
        <v>776</v>
      </c>
      <c r="E10" s="180" t="s">
        <v>777</v>
      </c>
      <c r="F10" s="181" t="s">
        <v>774</v>
      </c>
      <c r="G10" t="s">
        <v>778</v>
      </c>
      <c r="H10" t="s">
        <v>779</v>
      </c>
    </row>
    <row r="11" spans="1:18" x14ac:dyDescent="0.25">
      <c r="A11" s="180" t="s">
        <v>780</v>
      </c>
      <c r="B11" t="s">
        <v>781</v>
      </c>
      <c r="D11" t="s">
        <v>782</v>
      </c>
      <c r="E11" s="180" t="s">
        <v>783</v>
      </c>
      <c r="F11" s="181" t="s">
        <v>780</v>
      </c>
      <c r="H11" t="s">
        <v>784</v>
      </c>
    </row>
    <row r="12" spans="1:18" x14ac:dyDescent="0.25">
      <c r="A12" s="180" t="s">
        <v>785</v>
      </c>
      <c r="B12" t="s">
        <v>786</v>
      </c>
      <c r="D12" t="s">
        <v>787</v>
      </c>
      <c r="E12" s="180" t="s">
        <v>788</v>
      </c>
      <c r="F12" s="181" t="s">
        <v>785</v>
      </c>
      <c r="H12" t="s">
        <v>789</v>
      </c>
    </row>
    <row r="13" spans="1:18" x14ac:dyDescent="0.25">
      <c r="A13" s="180" t="s">
        <v>790</v>
      </c>
      <c r="D13" t="s">
        <v>791</v>
      </c>
      <c r="E13" s="180" t="s">
        <v>281</v>
      </c>
      <c r="F13" s="181" t="s">
        <v>790</v>
      </c>
      <c r="H13" t="s">
        <v>792</v>
      </c>
    </row>
    <row r="14" spans="1:18" x14ac:dyDescent="0.25">
      <c r="A14" s="180" t="s">
        <v>793</v>
      </c>
      <c r="D14" t="s">
        <v>794</v>
      </c>
      <c r="E14" s="180" t="s">
        <v>284</v>
      </c>
      <c r="F14" s="181" t="s">
        <v>793</v>
      </c>
      <c r="H14" t="s">
        <v>795</v>
      </c>
    </row>
    <row r="15" spans="1:18" x14ac:dyDescent="0.25">
      <c r="A15" s="180" t="s">
        <v>796</v>
      </c>
      <c r="D15" t="s">
        <v>797</v>
      </c>
      <c r="E15" s="180" t="s">
        <v>287</v>
      </c>
      <c r="F15" s="181" t="s">
        <v>796</v>
      </c>
      <c r="H15" t="s">
        <v>798</v>
      </c>
    </row>
    <row r="16" spans="1:18" x14ac:dyDescent="0.25">
      <c r="A16" s="180" t="s">
        <v>799</v>
      </c>
      <c r="D16" t="s">
        <v>800</v>
      </c>
      <c r="E16" s="180" t="s">
        <v>290</v>
      </c>
      <c r="F16" s="181" t="s">
        <v>799</v>
      </c>
      <c r="H16" t="s">
        <v>801</v>
      </c>
    </row>
    <row r="17" spans="1:8" x14ac:dyDescent="0.25">
      <c r="A17" s="180" t="s">
        <v>802</v>
      </c>
      <c r="D17" t="s">
        <v>803</v>
      </c>
      <c r="E17" s="180" t="s">
        <v>293</v>
      </c>
      <c r="F17" s="181" t="s">
        <v>802</v>
      </c>
      <c r="H17" t="s">
        <v>804</v>
      </c>
    </row>
    <row r="18" spans="1:8" x14ac:dyDescent="0.25">
      <c r="A18" s="180" t="s">
        <v>805</v>
      </c>
      <c r="D18" t="s">
        <v>806</v>
      </c>
      <c r="E18" s="180" t="s">
        <v>296</v>
      </c>
      <c r="F18" s="181" t="s">
        <v>805</v>
      </c>
      <c r="H18" t="s">
        <v>807</v>
      </c>
    </row>
    <row r="19" spans="1:8" x14ac:dyDescent="0.25">
      <c r="A19" s="180" t="s">
        <v>808</v>
      </c>
      <c r="D19" t="s">
        <v>809</v>
      </c>
      <c r="E19" s="180" t="s">
        <v>810</v>
      </c>
      <c r="F19" s="181" t="s">
        <v>808</v>
      </c>
      <c r="H19" t="s">
        <v>811</v>
      </c>
    </row>
    <row r="20" spans="1:8" x14ac:dyDescent="0.25">
      <c r="A20" s="180" t="s">
        <v>812</v>
      </c>
      <c r="D20" t="s">
        <v>813</v>
      </c>
      <c r="E20" s="180" t="s">
        <v>302</v>
      </c>
      <c r="F20" s="181" t="s">
        <v>812</v>
      </c>
      <c r="H20" t="s">
        <v>814</v>
      </c>
    </row>
    <row r="21" spans="1:8" x14ac:dyDescent="0.25">
      <c r="A21" s="180" t="s">
        <v>815</v>
      </c>
      <c r="D21" t="s">
        <v>816</v>
      </c>
      <c r="E21" s="180" t="s">
        <v>305</v>
      </c>
      <c r="F21" s="181" t="s">
        <v>815</v>
      </c>
      <c r="H21" t="s">
        <v>817</v>
      </c>
    </row>
    <row r="22" spans="1:8" x14ac:dyDescent="0.25">
      <c r="A22" s="180" t="s">
        <v>818</v>
      </c>
      <c r="D22" t="s">
        <v>819</v>
      </c>
      <c r="E22" s="180" t="s">
        <v>308</v>
      </c>
      <c r="F22" s="181" t="s">
        <v>818</v>
      </c>
      <c r="H22" t="s">
        <v>820</v>
      </c>
    </row>
    <row r="23" spans="1:8" x14ac:dyDescent="0.25">
      <c r="A23" s="180" t="s">
        <v>821</v>
      </c>
      <c r="D23" t="s">
        <v>822</v>
      </c>
      <c r="E23" s="180" t="s">
        <v>311</v>
      </c>
      <c r="F23" s="181" t="s">
        <v>821</v>
      </c>
      <c r="H23" t="s">
        <v>823</v>
      </c>
    </row>
    <row r="24" spans="1:8" x14ac:dyDescent="0.25">
      <c r="A24" s="180" t="s">
        <v>824</v>
      </c>
      <c r="D24" t="s">
        <v>825</v>
      </c>
      <c r="E24" s="180" t="s">
        <v>314</v>
      </c>
      <c r="F24" s="181" t="s">
        <v>824</v>
      </c>
      <c r="H24" t="s">
        <v>826</v>
      </c>
    </row>
    <row r="25" spans="1:8" x14ac:dyDescent="0.25">
      <c r="A25" s="180" t="s">
        <v>827</v>
      </c>
      <c r="D25" t="s">
        <v>828</v>
      </c>
      <c r="E25" s="180" t="s">
        <v>317</v>
      </c>
      <c r="F25" s="181" t="s">
        <v>827</v>
      </c>
    </row>
    <row r="26" spans="1:8" x14ac:dyDescent="0.25">
      <c r="A26" s="180" t="s">
        <v>829</v>
      </c>
      <c r="D26" t="s">
        <v>830</v>
      </c>
      <c r="E26" s="180" t="s">
        <v>320</v>
      </c>
      <c r="F26" s="181" t="s">
        <v>829</v>
      </c>
    </row>
    <row r="27" spans="1:8" x14ac:dyDescent="0.25">
      <c r="A27" s="180" t="s">
        <v>831</v>
      </c>
      <c r="D27" t="s">
        <v>832</v>
      </c>
      <c r="E27" s="180" t="s">
        <v>833</v>
      </c>
      <c r="F27" s="181" t="s">
        <v>831</v>
      </c>
    </row>
    <row r="28" spans="1:8" x14ac:dyDescent="0.25">
      <c r="A28" s="180" t="s">
        <v>834</v>
      </c>
      <c r="D28" t="s">
        <v>835</v>
      </c>
      <c r="E28" s="180" t="s">
        <v>322</v>
      </c>
      <c r="F28" s="181" t="s">
        <v>834</v>
      </c>
    </row>
    <row r="29" spans="1:8" x14ac:dyDescent="0.25">
      <c r="A29" s="180" t="s">
        <v>836</v>
      </c>
      <c r="D29" t="s">
        <v>837</v>
      </c>
      <c r="E29" s="180" t="s">
        <v>324</v>
      </c>
      <c r="F29" s="181" t="s">
        <v>836</v>
      </c>
    </row>
    <row r="30" spans="1:8" x14ac:dyDescent="0.25">
      <c r="A30" s="180" t="s">
        <v>838</v>
      </c>
      <c r="D30" t="s">
        <v>839</v>
      </c>
      <c r="E30" s="180" t="s">
        <v>840</v>
      </c>
      <c r="F30" s="181" t="s">
        <v>838</v>
      </c>
    </row>
    <row r="31" spans="1:8" x14ac:dyDescent="0.25">
      <c r="A31" s="180" t="s">
        <v>841</v>
      </c>
      <c r="D31" t="s">
        <v>842</v>
      </c>
      <c r="E31" s="180" t="s">
        <v>328</v>
      </c>
      <c r="F31" s="181" t="s">
        <v>841</v>
      </c>
    </row>
    <row r="32" spans="1:8" x14ac:dyDescent="0.25">
      <c r="A32" s="180" t="s">
        <v>843</v>
      </c>
      <c r="D32" t="s">
        <v>844</v>
      </c>
      <c r="E32" s="180" t="s">
        <v>845</v>
      </c>
      <c r="F32" s="181" t="s">
        <v>843</v>
      </c>
    </row>
    <row r="33" spans="1:6" x14ac:dyDescent="0.25">
      <c r="A33" s="180" t="s">
        <v>846</v>
      </c>
      <c r="D33" t="s">
        <v>847</v>
      </c>
      <c r="E33" s="180" t="s">
        <v>330</v>
      </c>
      <c r="F33" s="181" t="s">
        <v>846</v>
      </c>
    </row>
    <row r="34" spans="1:6" x14ac:dyDescent="0.25">
      <c r="A34" s="180" t="s">
        <v>848</v>
      </c>
      <c r="D34" t="s">
        <v>849</v>
      </c>
      <c r="E34" s="180" t="s">
        <v>850</v>
      </c>
      <c r="F34" s="181" t="s">
        <v>848</v>
      </c>
    </row>
    <row r="35" spans="1:6" x14ac:dyDescent="0.25">
      <c r="A35" s="180" t="s">
        <v>851</v>
      </c>
      <c r="D35" t="s">
        <v>852</v>
      </c>
      <c r="E35" s="180" t="s">
        <v>853</v>
      </c>
      <c r="F35" s="181" t="s">
        <v>851</v>
      </c>
    </row>
    <row r="36" spans="1:6" x14ac:dyDescent="0.25">
      <c r="A36" s="180" t="s">
        <v>854</v>
      </c>
      <c r="D36" t="s">
        <v>855</v>
      </c>
      <c r="E36" s="180" t="s">
        <v>856</v>
      </c>
      <c r="F36" s="181" t="s">
        <v>854</v>
      </c>
    </row>
    <row r="37" spans="1:6" x14ac:dyDescent="0.25">
      <c r="A37" s="180" t="s">
        <v>857</v>
      </c>
      <c r="D37" t="s">
        <v>858</v>
      </c>
      <c r="E37" s="180" t="s">
        <v>334</v>
      </c>
      <c r="F37" s="181" t="s">
        <v>857</v>
      </c>
    </row>
    <row r="38" spans="1:6" x14ac:dyDescent="0.25">
      <c r="A38" s="180" t="s">
        <v>859</v>
      </c>
      <c r="D38" t="s">
        <v>860</v>
      </c>
      <c r="E38" s="180" t="s">
        <v>336</v>
      </c>
      <c r="F38" s="181" t="s">
        <v>859</v>
      </c>
    </row>
    <row r="39" spans="1:6" x14ac:dyDescent="0.25">
      <c r="A39" s="180" t="s">
        <v>861</v>
      </c>
      <c r="D39" t="s">
        <v>862</v>
      </c>
      <c r="E39" s="180" t="s">
        <v>340</v>
      </c>
      <c r="F39" s="181" t="s">
        <v>861</v>
      </c>
    </row>
    <row r="40" spans="1:6" x14ac:dyDescent="0.25">
      <c r="A40" s="180" t="s">
        <v>863</v>
      </c>
      <c r="D40" t="s">
        <v>864</v>
      </c>
      <c r="E40" s="180" t="s">
        <v>342</v>
      </c>
      <c r="F40" s="181" t="s">
        <v>863</v>
      </c>
    </row>
    <row r="41" spans="1:6" x14ac:dyDescent="0.25">
      <c r="A41" s="180" t="s">
        <v>865</v>
      </c>
      <c r="D41" t="s">
        <v>866</v>
      </c>
      <c r="E41" s="180" t="s">
        <v>344</v>
      </c>
      <c r="F41" s="181" t="s">
        <v>865</v>
      </c>
    </row>
    <row r="42" spans="1:6" x14ac:dyDescent="0.25">
      <c r="A42" s="180" t="s">
        <v>867</v>
      </c>
      <c r="D42" t="s">
        <v>868</v>
      </c>
      <c r="E42" s="180" t="s">
        <v>346</v>
      </c>
      <c r="F42" s="181" t="s">
        <v>867</v>
      </c>
    </row>
    <row r="43" spans="1:6" x14ac:dyDescent="0.25">
      <c r="A43" s="180" t="s">
        <v>869</v>
      </c>
      <c r="D43" t="s">
        <v>870</v>
      </c>
      <c r="E43" s="180" t="s">
        <v>348</v>
      </c>
      <c r="F43" s="181" t="s">
        <v>869</v>
      </c>
    </row>
    <row r="44" spans="1:6" x14ac:dyDescent="0.25">
      <c r="A44" s="180" t="s">
        <v>871</v>
      </c>
      <c r="D44" t="s">
        <v>872</v>
      </c>
      <c r="E44" s="180" t="s">
        <v>873</v>
      </c>
      <c r="F44" s="181" t="s">
        <v>871</v>
      </c>
    </row>
    <row r="45" spans="1:6" x14ac:dyDescent="0.25">
      <c r="A45" s="180" t="s">
        <v>874</v>
      </c>
      <c r="D45" t="s">
        <v>875</v>
      </c>
      <c r="E45" s="180" t="s">
        <v>350</v>
      </c>
      <c r="F45" s="181" t="s">
        <v>874</v>
      </c>
    </row>
    <row r="46" spans="1:6" x14ac:dyDescent="0.25">
      <c r="A46" s="180" t="s">
        <v>876</v>
      </c>
      <c r="D46" t="s">
        <v>877</v>
      </c>
      <c r="E46" s="180" t="s">
        <v>352</v>
      </c>
      <c r="F46" s="181" t="s">
        <v>876</v>
      </c>
    </row>
    <row r="47" spans="1:6" x14ac:dyDescent="0.25">
      <c r="A47" s="180" t="s">
        <v>878</v>
      </c>
      <c r="D47" t="s">
        <v>879</v>
      </c>
      <c r="E47" s="180" t="s">
        <v>354</v>
      </c>
      <c r="F47" s="181" t="s">
        <v>878</v>
      </c>
    </row>
    <row r="48" spans="1:6" x14ac:dyDescent="0.25">
      <c r="A48" s="180" t="s">
        <v>880</v>
      </c>
      <c r="D48" t="s">
        <v>881</v>
      </c>
      <c r="E48" s="180" t="s">
        <v>356</v>
      </c>
      <c r="F48" s="181" t="s">
        <v>880</v>
      </c>
    </row>
    <row r="49" spans="1:6" x14ac:dyDescent="0.25">
      <c r="A49" s="180" t="s">
        <v>882</v>
      </c>
      <c r="D49" t="s">
        <v>883</v>
      </c>
      <c r="E49" s="180" t="s">
        <v>884</v>
      </c>
      <c r="F49" s="181" t="s">
        <v>882</v>
      </c>
    </row>
    <row r="50" spans="1:6" x14ac:dyDescent="0.25">
      <c r="A50" s="180" t="s">
        <v>885</v>
      </c>
      <c r="D50" t="s">
        <v>886</v>
      </c>
      <c r="E50" s="180" t="s">
        <v>887</v>
      </c>
      <c r="F50" s="181" t="s">
        <v>885</v>
      </c>
    </row>
    <row r="51" spans="1:6" x14ac:dyDescent="0.25">
      <c r="A51" s="180" t="s">
        <v>888</v>
      </c>
      <c r="D51" t="s">
        <v>889</v>
      </c>
      <c r="E51" s="180" t="s">
        <v>358</v>
      </c>
      <c r="F51" s="181" t="s">
        <v>888</v>
      </c>
    </row>
    <row r="52" spans="1:6" x14ac:dyDescent="0.25">
      <c r="A52" s="180" t="s">
        <v>890</v>
      </c>
      <c r="D52" t="s">
        <v>891</v>
      </c>
      <c r="E52" s="180" t="s">
        <v>360</v>
      </c>
      <c r="F52" s="181" t="s">
        <v>890</v>
      </c>
    </row>
    <row r="53" spans="1:6" x14ac:dyDescent="0.25">
      <c r="A53" s="180" t="s">
        <v>892</v>
      </c>
      <c r="D53" t="s">
        <v>893</v>
      </c>
      <c r="E53" s="180" t="s">
        <v>894</v>
      </c>
      <c r="F53" s="181" t="s">
        <v>892</v>
      </c>
    </row>
    <row r="54" spans="1:6" x14ac:dyDescent="0.25">
      <c r="A54" s="180" t="s">
        <v>895</v>
      </c>
      <c r="D54" t="s">
        <v>896</v>
      </c>
      <c r="E54" s="180" t="s">
        <v>366</v>
      </c>
      <c r="F54" s="181" t="s">
        <v>895</v>
      </c>
    </row>
    <row r="55" spans="1:6" x14ac:dyDescent="0.25">
      <c r="A55" s="180" t="s">
        <v>897</v>
      </c>
      <c r="D55" t="s">
        <v>898</v>
      </c>
      <c r="E55" s="180" t="s">
        <v>899</v>
      </c>
      <c r="F55" s="181" t="s">
        <v>897</v>
      </c>
    </row>
    <row r="56" spans="1:6" x14ac:dyDescent="0.25">
      <c r="A56" s="180" t="s">
        <v>900</v>
      </c>
      <c r="D56" t="s">
        <v>901</v>
      </c>
      <c r="E56" s="180" t="s">
        <v>370</v>
      </c>
      <c r="F56" s="181" t="s">
        <v>900</v>
      </c>
    </row>
    <row r="57" spans="1:6" x14ac:dyDescent="0.25">
      <c r="A57" s="180" t="s">
        <v>902</v>
      </c>
      <c r="E57" s="180" t="s">
        <v>372</v>
      </c>
      <c r="F57" s="181" t="s">
        <v>902</v>
      </c>
    </row>
    <row r="58" spans="1:6" x14ac:dyDescent="0.25">
      <c r="A58" s="180" t="s">
        <v>903</v>
      </c>
      <c r="E58" s="180" t="s">
        <v>904</v>
      </c>
      <c r="F58" s="181" t="s">
        <v>903</v>
      </c>
    </row>
    <row r="59" spans="1:6" x14ac:dyDescent="0.25">
      <c r="A59" s="180" t="s">
        <v>905</v>
      </c>
      <c r="E59" s="180" t="s">
        <v>376</v>
      </c>
      <c r="F59" s="181" t="s">
        <v>905</v>
      </c>
    </row>
    <row r="60" spans="1:6" x14ac:dyDescent="0.25">
      <c r="A60" s="180" t="s">
        <v>906</v>
      </c>
      <c r="E60" s="180" t="s">
        <v>378</v>
      </c>
      <c r="F60" s="181" t="s">
        <v>906</v>
      </c>
    </row>
    <row r="61" spans="1:6" x14ac:dyDescent="0.25">
      <c r="A61" s="180" t="s">
        <v>907</v>
      </c>
      <c r="E61" s="180" t="s">
        <v>380</v>
      </c>
      <c r="F61" s="181" t="s">
        <v>907</v>
      </c>
    </row>
    <row r="62" spans="1:6" x14ac:dyDescent="0.25">
      <c r="A62" s="180" t="s">
        <v>908</v>
      </c>
      <c r="E62" s="180" t="s">
        <v>382</v>
      </c>
      <c r="F62" s="181" t="s">
        <v>908</v>
      </c>
    </row>
    <row r="63" spans="1:6" x14ac:dyDescent="0.25">
      <c r="A63" s="180" t="s">
        <v>909</v>
      </c>
      <c r="E63" s="180" t="s">
        <v>384</v>
      </c>
      <c r="F63" s="181" t="s">
        <v>909</v>
      </c>
    </row>
    <row r="64" spans="1:6" x14ac:dyDescent="0.25">
      <c r="A64" s="180" t="s">
        <v>909</v>
      </c>
      <c r="E64" s="180" t="s">
        <v>386</v>
      </c>
      <c r="F64" s="181" t="s">
        <v>909</v>
      </c>
    </row>
    <row r="65" spans="1:6" x14ac:dyDescent="0.25">
      <c r="A65" s="180" t="s">
        <v>910</v>
      </c>
      <c r="E65" s="180" t="s">
        <v>388</v>
      </c>
      <c r="F65" s="181" t="s">
        <v>910</v>
      </c>
    </row>
    <row r="66" spans="1:6" x14ac:dyDescent="0.25">
      <c r="A66" s="180" t="s">
        <v>911</v>
      </c>
      <c r="E66" s="180" t="s">
        <v>390</v>
      </c>
      <c r="F66" s="181" t="s">
        <v>911</v>
      </c>
    </row>
    <row r="67" spans="1:6" x14ac:dyDescent="0.25">
      <c r="A67" s="180" t="s">
        <v>912</v>
      </c>
      <c r="E67" s="180" t="s">
        <v>392</v>
      </c>
      <c r="F67" s="181" t="s">
        <v>912</v>
      </c>
    </row>
    <row r="68" spans="1:6" x14ac:dyDescent="0.25">
      <c r="A68" s="180" t="s">
        <v>913</v>
      </c>
      <c r="E68" s="180" t="s">
        <v>394</v>
      </c>
      <c r="F68" s="181" t="s">
        <v>913</v>
      </c>
    </row>
    <row r="69" spans="1:6" x14ac:dyDescent="0.25">
      <c r="A69" s="180" t="s">
        <v>914</v>
      </c>
      <c r="E69" s="180" t="s">
        <v>396</v>
      </c>
      <c r="F69" s="181" t="s">
        <v>914</v>
      </c>
    </row>
    <row r="70" spans="1:6" x14ac:dyDescent="0.25">
      <c r="A70" s="180" t="s">
        <v>915</v>
      </c>
      <c r="E70" s="180" t="s">
        <v>398</v>
      </c>
      <c r="F70" s="181" t="s">
        <v>915</v>
      </c>
    </row>
    <row r="71" spans="1:6" x14ac:dyDescent="0.25">
      <c r="A71" s="180" t="s">
        <v>916</v>
      </c>
      <c r="E71" s="180" t="s">
        <v>400</v>
      </c>
      <c r="F71" s="181" t="s">
        <v>916</v>
      </c>
    </row>
    <row r="72" spans="1:6" x14ac:dyDescent="0.25">
      <c r="A72" s="180" t="s">
        <v>917</v>
      </c>
      <c r="E72" s="180" t="s">
        <v>918</v>
      </c>
      <c r="F72" s="181" t="s">
        <v>917</v>
      </c>
    </row>
    <row r="73" spans="1:6" x14ac:dyDescent="0.25">
      <c r="A73" s="180" t="s">
        <v>919</v>
      </c>
      <c r="E73" s="180" t="s">
        <v>920</v>
      </c>
      <c r="F73" s="181" t="s">
        <v>919</v>
      </c>
    </row>
    <row r="74" spans="1:6" x14ac:dyDescent="0.25">
      <c r="A74" s="180" t="s">
        <v>921</v>
      </c>
      <c r="E74" s="180" t="s">
        <v>402</v>
      </c>
      <c r="F74" s="181" t="s">
        <v>921</v>
      </c>
    </row>
    <row r="75" spans="1:6" x14ac:dyDescent="0.25">
      <c r="A75" s="180" t="s">
        <v>922</v>
      </c>
      <c r="E75" s="180" t="s">
        <v>404</v>
      </c>
      <c r="F75" s="181" t="s">
        <v>922</v>
      </c>
    </row>
    <row r="76" spans="1:6" x14ac:dyDescent="0.25">
      <c r="A76" s="180" t="s">
        <v>923</v>
      </c>
      <c r="E76" s="180" t="s">
        <v>405</v>
      </c>
      <c r="F76" s="181" t="s">
        <v>923</v>
      </c>
    </row>
    <row r="77" spans="1:6" x14ac:dyDescent="0.25">
      <c r="A77" s="180" t="s">
        <v>924</v>
      </c>
      <c r="E77" s="180" t="s">
        <v>925</v>
      </c>
      <c r="F77" s="181" t="s">
        <v>924</v>
      </c>
    </row>
    <row r="78" spans="1:6" x14ac:dyDescent="0.25">
      <c r="A78" s="180" t="s">
        <v>926</v>
      </c>
      <c r="E78" s="180" t="s">
        <v>927</v>
      </c>
      <c r="F78" s="181" t="s">
        <v>926</v>
      </c>
    </row>
    <row r="79" spans="1:6" x14ac:dyDescent="0.25">
      <c r="A79" s="180" t="s">
        <v>928</v>
      </c>
      <c r="E79" s="180" t="s">
        <v>929</v>
      </c>
      <c r="F79" s="181" t="s">
        <v>930</v>
      </c>
    </row>
    <row r="80" spans="1:6" x14ac:dyDescent="0.25">
      <c r="A80" s="180" t="s">
        <v>931</v>
      </c>
      <c r="E80" s="180" t="s">
        <v>406</v>
      </c>
      <c r="F80" s="181" t="s">
        <v>932</v>
      </c>
    </row>
    <row r="81" spans="1:6" x14ac:dyDescent="0.25">
      <c r="A81" s="180" t="s">
        <v>930</v>
      </c>
      <c r="E81" s="180" t="s">
        <v>933</v>
      </c>
      <c r="F81" s="181" t="s">
        <v>934</v>
      </c>
    </row>
    <row r="82" spans="1:6" x14ac:dyDescent="0.25">
      <c r="A82" s="180" t="s">
        <v>932</v>
      </c>
      <c r="E82" s="180" t="s">
        <v>408</v>
      </c>
      <c r="F82" s="181" t="s">
        <v>935</v>
      </c>
    </row>
    <row r="83" spans="1:6" x14ac:dyDescent="0.25">
      <c r="A83" s="180" t="s">
        <v>934</v>
      </c>
      <c r="E83" s="180" t="s">
        <v>409</v>
      </c>
      <c r="F83" s="181" t="s">
        <v>936</v>
      </c>
    </row>
    <row r="84" spans="1:6" x14ac:dyDescent="0.25">
      <c r="A84" s="180" t="s">
        <v>935</v>
      </c>
      <c r="E84" s="180" t="s">
        <v>410</v>
      </c>
      <c r="F84" s="181" t="s">
        <v>937</v>
      </c>
    </row>
    <row r="85" spans="1:6" x14ac:dyDescent="0.25">
      <c r="A85" s="180" t="s">
        <v>936</v>
      </c>
      <c r="E85" s="180" t="s">
        <v>938</v>
      </c>
      <c r="F85" s="181" t="s">
        <v>939</v>
      </c>
    </row>
    <row r="86" spans="1:6" x14ac:dyDescent="0.25">
      <c r="A86" s="180" t="s">
        <v>937</v>
      </c>
      <c r="E86" s="180" t="s">
        <v>411</v>
      </c>
      <c r="F86" s="181" t="s">
        <v>940</v>
      </c>
    </row>
    <row r="87" spans="1:6" x14ac:dyDescent="0.25">
      <c r="A87" s="180" t="s">
        <v>939</v>
      </c>
      <c r="E87" s="180" t="s">
        <v>941</v>
      </c>
      <c r="F87" s="181" t="s">
        <v>942</v>
      </c>
    </row>
    <row r="88" spans="1:6" x14ac:dyDescent="0.25">
      <c r="A88" s="180" t="s">
        <v>940</v>
      </c>
      <c r="E88" s="180" t="s">
        <v>412</v>
      </c>
      <c r="F88" s="181" t="s">
        <v>943</v>
      </c>
    </row>
    <row r="89" spans="1:6" x14ac:dyDescent="0.25">
      <c r="A89" s="180" t="s">
        <v>942</v>
      </c>
      <c r="E89" s="180" t="s">
        <v>944</v>
      </c>
      <c r="F89" s="181" t="s">
        <v>945</v>
      </c>
    </row>
    <row r="90" spans="1:6" x14ac:dyDescent="0.25">
      <c r="A90" s="180" t="s">
        <v>943</v>
      </c>
      <c r="E90" s="180" t="s">
        <v>946</v>
      </c>
      <c r="F90" s="181" t="s">
        <v>947</v>
      </c>
    </row>
    <row r="91" spans="1:6" x14ac:dyDescent="0.25">
      <c r="A91" s="180" t="s">
        <v>945</v>
      </c>
      <c r="E91" s="180" t="s">
        <v>413</v>
      </c>
      <c r="F91" s="181" t="s">
        <v>948</v>
      </c>
    </row>
    <row r="92" spans="1:6" x14ac:dyDescent="0.25">
      <c r="A92" s="180" t="s">
        <v>947</v>
      </c>
      <c r="E92" s="180" t="s">
        <v>949</v>
      </c>
      <c r="F92" s="181" t="s">
        <v>950</v>
      </c>
    </row>
    <row r="93" spans="1:6" x14ac:dyDescent="0.25">
      <c r="A93" s="180" t="s">
        <v>948</v>
      </c>
      <c r="E93" s="180" t="s">
        <v>414</v>
      </c>
      <c r="F93" s="181" t="s">
        <v>951</v>
      </c>
    </row>
    <row r="94" spans="1:6" x14ac:dyDescent="0.25">
      <c r="A94" s="180" t="s">
        <v>950</v>
      </c>
      <c r="E94" s="180" t="s">
        <v>952</v>
      </c>
      <c r="F94" s="181" t="s">
        <v>953</v>
      </c>
    </row>
    <row r="95" spans="1:6" x14ac:dyDescent="0.25">
      <c r="A95" s="180" t="s">
        <v>951</v>
      </c>
      <c r="E95" s="180" t="s">
        <v>416</v>
      </c>
      <c r="F95" s="181" t="s">
        <v>954</v>
      </c>
    </row>
    <row r="96" spans="1:6" x14ac:dyDescent="0.25">
      <c r="A96" s="180" t="s">
        <v>953</v>
      </c>
      <c r="E96" s="180" t="s">
        <v>417</v>
      </c>
      <c r="F96" s="181" t="s">
        <v>955</v>
      </c>
    </row>
    <row r="97" spans="1:6" x14ac:dyDescent="0.25">
      <c r="A97" s="180" t="s">
        <v>954</v>
      </c>
      <c r="E97" s="180" t="s">
        <v>956</v>
      </c>
      <c r="F97" s="181" t="s">
        <v>957</v>
      </c>
    </row>
    <row r="98" spans="1:6" x14ac:dyDescent="0.25">
      <c r="A98" s="180" t="s">
        <v>955</v>
      </c>
      <c r="E98" s="180" t="s">
        <v>958</v>
      </c>
      <c r="F98" s="181" t="s">
        <v>959</v>
      </c>
    </row>
    <row r="99" spans="1:6" x14ac:dyDescent="0.25">
      <c r="A99" s="180" t="s">
        <v>957</v>
      </c>
      <c r="E99" s="180" t="s">
        <v>418</v>
      </c>
      <c r="F99" s="181" t="s">
        <v>960</v>
      </c>
    </row>
    <row r="100" spans="1:6" x14ac:dyDescent="0.25">
      <c r="A100" s="180" t="s">
        <v>959</v>
      </c>
      <c r="E100" s="180" t="s">
        <v>419</v>
      </c>
      <c r="F100" s="181" t="s">
        <v>961</v>
      </c>
    </row>
    <row r="101" spans="1:6" x14ac:dyDescent="0.25">
      <c r="A101" s="180" t="s">
        <v>960</v>
      </c>
      <c r="E101" s="180" t="s">
        <v>420</v>
      </c>
      <c r="F101" s="181" t="s">
        <v>962</v>
      </c>
    </row>
    <row r="102" spans="1:6" x14ac:dyDescent="0.25">
      <c r="A102" s="180" t="s">
        <v>961</v>
      </c>
      <c r="E102" s="180" t="s">
        <v>421</v>
      </c>
      <c r="F102" s="181" t="s">
        <v>963</v>
      </c>
    </row>
    <row r="103" spans="1:6" x14ac:dyDescent="0.25">
      <c r="A103" s="180" t="s">
        <v>963</v>
      </c>
      <c r="E103" s="180" t="s">
        <v>153</v>
      </c>
      <c r="F103" s="181" t="s">
        <v>964</v>
      </c>
    </row>
    <row r="104" spans="1:6" x14ac:dyDescent="0.25">
      <c r="A104" s="180" t="s">
        <v>963</v>
      </c>
      <c r="E104" s="180" t="s">
        <v>422</v>
      </c>
      <c r="F104" s="181" t="s">
        <v>965</v>
      </c>
    </row>
    <row r="105" spans="1:6" x14ac:dyDescent="0.25">
      <c r="A105" s="180" t="s">
        <v>964</v>
      </c>
      <c r="E105" s="180" t="s">
        <v>423</v>
      </c>
      <c r="F105" s="181" t="s">
        <v>966</v>
      </c>
    </row>
    <row r="106" spans="1:6" x14ac:dyDescent="0.25">
      <c r="A106" s="180" t="s">
        <v>965</v>
      </c>
      <c r="E106" s="180" t="s">
        <v>424</v>
      </c>
      <c r="F106" s="181" t="s">
        <v>967</v>
      </c>
    </row>
    <row r="107" spans="1:6" x14ac:dyDescent="0.25">
      <c r="A107" s="180" t="s">
        <v>966</v>
      </c>
      <c r="E107" s="180" t="s">
        <v>425</v>
      </c>
      <c r="F107" s="181" t="s">
        <v>968</v>
      </c>
    </row>
    <row r="108" spans="1:6" x14ac:dyDescent="0.25">
      <c r="A108" s="180" t="s">
        <v>967</v>
      </c>
      <c r="E108" s="180" t="s">
        <v>969</v>
      </c>
      <c r="F108" s="181" t="s">
        <v>970</v>
      </c>
    </row>
    <row r="109" spans="1:6" x14ac:dyDescent="0.25">
      <c r="A109" s="180" t="s">
        <v>970</v>
      </c>
      <c r="E109" s="180" t="s">
        <v>426</v>
      </c>
      <c r="F109" s="181" t="s">
        <v>971</v>
      </c>
    </row>
    <row r="110" spans="1:6" x14ac:dyDescent="0.25">
      <c r="A110" s="180" t="s">
        <v>971</v>
      </c>
      <c r="E110" s="180" t="s">
        <v>427</v>
      </c>
      <c r="F110" s="181" t="s">
        <v>972</v>
      </c>
    </row>
    <row r="111" spans="1:6" x14ac:dyDescent="0.25">
      <c r="A111" s="180" t="s">
        <v>972</v>
      </c>
      <c r="E111" s="180" t="s">
        <v>428</v>
      </c>
      <c r="F111" s="181" t="s">
        <v>973</v>
      </c>
    </row>
    <row r="112" spans="1:6" x14ac:dyDescent="0.25">
      <c r="A112" s="180" t="s">
        <v>973</v>
      </c>
      <c r="E112" s="180" t="s">
        <v>429</v>
      </c>
      <c r="F112" s="181" t="s">
        <v>974</v>
      </c>
    </row>
    <row r="113" spans="1:6" x14ac:dyDescent="0.25">
      <c r="A113" s="180" t="s">
        <v>974</v>
      </c>
      <c r="E113" s="180" t="s">
        <v>975</v>
      </c>
      <c r="F113" s="181" t="s">
        <v>976</v>
      </c>
    </row>
    <row r="114" spans="1:6" x14ac:dyDescent="0.25">
      <c r="A114" s="180" t="s">
        <v>976</v>
      </c>
      <c r="E114" s="180" t="s">
        <v>430</v>
      </c>
      <c r="F114" s="181" t="s">
        <v>977</v>
      </c>
    </row>
    <row r="115" spans="1:6" x14ac:dyDescent="0.25">
      <c r="A115" s="180" t="s">
        <v>977</v>
      </c>
      <c r="E115" s="180" t="s">
        <v>431</v>
      </c>
      <c r="F115" s="181" t="s">
        <v>978</v>
      </c>
    </row>
    <row r="116" spans="1:6" x14ac:dyDescent="0.25">
      <c r="A116" s="180" t="s">
        <v>978</v>
      </c>
      <c r="E116" s="180" t="s">
        <v>432</v>
      </c>
      <c r="F116" s="181" t="s">
        <v>979</v>
      </c>
    </row>
    <row r="117" spans="1:6" x14ac:dyDescent="0.25">
      <c r="A117" s="180" t="s">
        <v>979</v>
      </c>
      <c r="E117" s="180" t="s">
        <v>433</v>
      </c>
      <c r="F117" s="181" t="s">
        <v>980</v>
      </c>
    </row>
    <row r="118" spans="1:6" x14ac:dyDescent="0.25">
      <c r="A118" s="180" t="s">
        <v>980</v>
      </c>
      <c r="E118" s="180" t="s">
        <v>436</v>
      </c>
      <c r="F118" s="181" t="s">
        <v>981</v>
      </c>
    </row>
    <row r="119" spans="1:6" x14ac:dyDescent="0.25">
      <c r="A119" s="180" t="s">
        <v>981</v>
      </c>
      <c r="E119" s="180" t="s">
        <v>437</v>
      </c>
      <c r="F119" s="181" t="s">
        <v>982</v>
      </c>
    </row>
    <row r="120" spans="1:6" x14ac:dyDescent="0.25">
      <c r="A120" s="180" t="s">
        <v>982</v>
      </c>
      <c r="E120" s="180" t="s">
        <v>438</v>
      </c>
      <c r="F120" s="181" t="s">
        <v>983</v>
      </c>
    </row>
    <row r="121" spans="1:6" x14ac:dyDescent="0.25">
      <c r="A121" s="180" t="s">
        <v>983</v>
      </c>
      <c r="E121" s="180" t="s">
        <v>439</v>
      </c>
      <c r="F121" s="181" t="s">
        <v>984</v>
      </c>
    </row>
    <row r="122" spans="1:6" x14ac:dyDescent="0.25">
      <c r="A122" s="180" t="s">
        <v>984</v>
      </c>
      <c r="E122" s="180" t="s">
        <v>440</v>
      </c>
      <c r="F122" s="181" t="s">
        <v>985</v>
      </c>
    </row>
    <row r="123" spans="1:6" x14ac:dyDescent="0.25">
      <c r="A123" s="180" t="s">
        <v>985</v>
      </c>
      <c r="E123" s="180" t="s">
        <v>441</v>
      </c>
      <c r="F123" s="181" t="s">
        <v>986</v>
      </c>
    </row>
    <row r="124" spans="1:6" x14ac:dyDescent="0.25">
      <c r="A124" s="180" t="s">
        <v>986</v>
      </c>
      <c r="E124" s="180" t="s">
        <v>442</v>
      </c>
      <c r="F124" s="181" t="s">
        <v>987</v>
      </c>
    </row>
    <row r="125" spans="1:6" x14ac:dyDescent="0.25">
      <c r="A125" s="180" t="s">
        <v>987</v>
      </c>
      <c r="E125" s="180" t="s">
        <v>443</v>
      </c>
      <c r="F125" s="181" t="s">
        <v>988</v>
      </c>
    </row>
    <row r="126" spans="1:6" x14ac:dyDescent="0.25">
      <c r="A126" s="180" t="s">
        <v>988</v>
      </c>
      <c r="E126" s="180" t="s">
        <v>444</v>
      </c>
      <c r="F126" s="181" t="s">
        <v>989</v>
      </c>
    </row>
    <row r="127" spans="1:6" x14ac:dyDescent="0.25">
      <c r="A127" s="180" t="s">
        <v>989</v>
      </c>
      <c r="E127" s="180" t="s">
        <v>445</v>
      </c>
      <c r="F127" s="181" t="s">
        <v>990</v>
      </c>
    </row>
    <row r="128" spans="1:6" x14ac:dyDescent="0.25">
      <c r="A128" s="180" t="s">
        <v>990</v>
      </c>
      <c r="E128" s="180" t="s">
        <v>446</v>
      </c>
      <c r="F128" s="181" t="s">
        <v>991</v>
      </c>
    </row>
    <row r="129" spans="1:6" x14ac:dyDescent="0.25">
      <c r="A129" s="180" t="s">
        <v>991</v>
      </c>
      <c r="E129" s="180" t="s">
        <v>447</v>
      </c>
      <c r="F129" s="181" t="s">
        <v>992</v>
      </c>
    </row>
    <row r="130" spans="1:6" x14ac:dyDescent="0.25">
      <c r="A130" s="180" t="s">
        <v>992</v>
      </c>
      <c r="E130" s="180" t="s">
        <v>993</v>
      </c>
      <c r="F130" s="181" t="s">
        <v>994</v>
      </c>
    </row>
    <row r="131" spans="1:6" x14ac:dyDescent="0.25">
      <c r="A131" s="180" t="s">
        <v>994</v>
      </c>
      <c r="E131" s="180" t="s">
        <v>449</v>
      </c>
      <c r="F131" s="181" t="s">
        <v>995</v>
      </c>
    </row>
    <row r="132" spans="1:6" x14ac:dyDescent="0.25">
      <c r="A132" s="180" t="s">
        <v>995</v>
      </c>
      <c r="E132" s="180" t="s">
        <v>450</v>
      </c>
      <c r="F132" s="181" t="s">
        <v>996</v>
      </c>
    </row>
    <row r="133" spans="1:6" x14ac:dyDescent="0.25">
      <c r="A133" s="180" t="s">
        <v>996</v>
      </c>
      <c r="E133" s="180" t="s">
        <v>451</v>
      </c>
      <c r="F133" s="181" t="s">
        <v>997</v>
      </c>
    </row>
    <row r="134" spans="1:6" x14ac:dyDescent="0.25">
      <c r="A134" s="180" t="s">
        <v>997</v>
      </c>
      <c r="E134" s="180" t="s">
        <v>452</v>
      </c>
      <c r="F134" s="181" t="s">
        <v>998</v>
      </c>
    </row>
    <row r="135" spans="1:6" x14ac:dyDescent="0.25">
      <c r="A135" s="180" t="s">
        <v>998</v>
      </c>
      <c r="E135" s="180" t="s">
        <v>453</v>
      </c>
      <c r="F135" s="181" t="s">
        <v>999</v>
      </c>
    </row>
    <row r="136" spans="1:6" x14ac:dyDescent="0.25">
      <c r="A136" s="180" t="s">
        <v>999</v>
      </c>
      <c r="E136" s="180" t="s">
        <v>454</v>
      </c>
      <c r="F136" s="181" t="s">
        <v>1000</v>
      </c>
    </row>
    <row r="137" spans="1:6" x14ac:dyDescent="0.25">
      <c r="A137" s="180" t="s">
        <v>1000</v>
      </c>
      <c r="E137" s="180" t="s">
        <v>455</v>
      </c>
      <c r="F137" s="181" t="s">
        <v>1001</v>
      </c>
    </row>
    <row r="138" spans="1:6" x14ac:dyDescent="0.25">
      <c r="A138" s="180" t="s">
        <v>1001</v>
      </c>
      <c r="E138" s="180" t="s">
        <v>456</v>
      </c>
      <c r="F138" s="181" t="s">
        <v>1002</v>
      </c>
    </row>
    <row r="139" spans="1:6" x14ac:dyDescent="0.25">
      <c r="A139" s="180" t="s">
        <v>1002</v>
      </c>
      <c r="E139" s="180" t="s">
        <v>1003</v>
      </c>
      <c r="F139" s="181" t="s">
        <v>1004</v>
      </c>
    </row>
    <row r="140" spans="1:6" x14ac:dyDescent="0.25">
      <c r="A140" s="180" t="s">
        <v>1004</v>
      </c>
      <c r="E140" s="180" t="s">
        <v>457</v>
      </c>
      <c r="F140" s="181" t="s">
        <v>1005</v>
      </c>
    </row>
    <row r="141" spans="1:6" x14ac:dyDescent="0.25">
      <c r="A141" s="180" t="s">
        <v>1005</v>
      </c>
      <c r="E141" s="180" t="s">
        <v>458</v>
      </c>
      <c r="F141" s="181" t="s">
        <v>1006</v>
      </c>
    </row>
    <row r="142" spans="1:6" x14ac:dyDescent="0.25">
      <c r="A142" s="180" t="s">
        <v>1006</v>
      </c>
      <c r="E142" s="180" t="s">
        <v>1007</v>
      </c>
      <c r="F142" s="181" t="s">
        <v>1008</v>
      </c>
    </row>
    <row r="143" spans="1:6" x14ac:dyDescent="0.25">
      <c r="A143" s="180" t="s">
        <v>1008</v>
      </c>
      <c r="E143" s="180" t="s">
        <v>459</v>
      </c>
      <c r="F143" s="181" t="s">
        <v>1009</v>
      </c>
    </row>
    <row r="144" spans="1:6" x14ac:dyDescent="0.25">
      <c r="A144" s="180" t="s">
        <v>1009</v>
      </c>
      <c r="E144" s="180" t="s">
        <v>460</v>
      </c>
      <c r="F144" s="181" t="s">
        <v>1010</v>
      </c>
    </row>
    <row r="145" spans="1:6" x14ac:dyDescent="0.25">
      <c r="A145" s="180" t="s">
        <v>1010</v>
      </c>
      <c r="E145" s="180" t="s">
        <v>462</v>
      </c>
      <c r="F145" s="181" t="s">
        <v>1011</v>
      </c>
    </row>
    <row r="146" spans="1:6" x14ac:dyDescent="0.25">
      <c r="A146" s="180" t="s">
        <v>1011</v>
      </c>
      <c r="E146" s="180" t="s">
        <v>463</v>
      </c>
      <c r="F146" s="181" t="s">
        <v>1011</v>
      </c>
    </row>
    <row r="147" spans="1:6" x14ac:dyDescent="0.25">
      <c r="A147" s="180" t="s">
        <v>1011</v>
      </c>
      <c r="E147" s="180" t="s">
        <v>464</v>
      </c>
      <c r="F147" s="181" t="s">
        <v>1012</v>
      </c>
    </row>
    <row r="148" spans="1:6" x14ac:dyDescent="0.25">
      <c r="A148" s="180" t="s">
        <v>1012</v>
      </c>
      <c r="E148" s="180" t="s">
        <v>1013</v>
      </c>
      <c r="F148" s="181" t="s">
        <v>1014</v>
      </c>
    </row>
    <row r="149" spans="1:6" x14ac:dyDescent="0.25">
      <c r="A149" s="180" t="s">
        <v>1014</v>
      </c>
      <c r="E149" s="180" t="s">
        <v>465</v>
      </c>
      <c r="F149" s="181" t="s">
        <v>1015</v>
      </c>
    </row>
    <row r="150" spans="1:6" x14ac:dyDescent="0.25">
      <c r="A150" s="180" t="s">
        <v>1015</v>
      </c>
      <c r="E150" s="180" t="s">
        <v>466</v>
      </c>
      <c r="F150" s="181" t="s">
        <v>1016</v>
      </c>
    </row>
    <row r="151" spans="1:6" x14ac:dyDescent="0.25">
      <c r="A151" s="180" t="s">
        <v>1016</v>
      </c>
      <c r="E151" s="180" t="s">
        <v>1017</v>
      </c>
      <c r="F151" s="181" t="s">
        <v>1018</v>
      </c>
    </row>
    <row r="152" spans="1:6" x14ac:dyDescent="0.25">
      <c r="A152" s="180" t="s">
        <v>1018</v>
      </c>
      <c r="E152" s="180" t="s">
        <v>467</v>
      </c>
      <c r="F152" s="181" t="s">
        <v>1019</v>
      </c>
    </row>
    <row r="153" spans="1:6" x14ac:dyDescent="0.25">
      <c r="A153" s="180" t="s">
        <v>1019</v>
      </c>
      <c r="E153" s="180" t="s">
        <v>468</v>
      </c>
      <c r="F153" s="181" t="s">
        <v>1020</v>
      </c>
    </row>
    <row r="154" spans="1:6" x14ac:dyDescent="0.25">
      <c r="A154" s="180" t="s">
        <v>1020</v>
      </c>
      <c r="E154" s="180" t="s">
        <v>469</v>
      </c>
      <c r="F154" s="181" t="s">
        <v>1021</v>
      </c>
    </row>
    <row r="155" spans="1:6" x14ac:dyDescent="0.25">
      <c r="A155" s="180" t="s">
        <v>1021</v>
      </c>
      <c r="E155" s="180" t="s">
        <v>470</v>
      </c>
      <c r="F155" s="181" t="s">
        <v>1022</v>
      </c>
    </row>
    <row r="156" spans="1:6" x14ac:dyDescent="0.25">
      <c r="A156" s="180" t="s">
        <v>1022</v>
      </c>
      <c r="E156" s="180" t="s">
        <v>471</v>
      </c>
      <c r="F156" s="181" t="s">
        <v>1023</v>
      </c>
    </row>
    <row r="157" spans="1:6" x14ac:dyDescent="0.25">
      <c r="A157" s="180" t="s">
        <v>1023</v>
      </c>
      <c r="E157" s="180" t="s">
        <v>1024</v>
      </c>
      <c r="F157" s="181" t="s">
        <v>1025</v>
      </c>
    </row>
    <row r="158" spans="1:6" x14ac:dyDescent="0.25">
      <c r="A158" s="180" t="s">
        <v>1025</v>
      </c>
      <c r="E158" s="180" t="s">
        <v>472</v>
      </c>
      <c r="F158" s="181" t="s">
        <v>1026</v>
      </c>
    </row>
    <row r="159" spans="1:6" x14ac:dyDescent="0.25">
      <c r="A159" s="180" t="s">
        <v>1026</v>
      </c>
      <c r="E159" s="180" t="s">
        <v>473</v>
      </c>
      <c r="F159" s="181" t="s">
        <v>1027</v>
      </c>
    </row>
    <row r="160" spans="1:6" x14ac:dyDescent="0.25">
      <c r="A160" s="180" t="s">
        <v>1027</v>
      </c>
      <c r="E160" s="180" t="s">
        <v>474</v>
      </c>
      <c r="F160" s="181" t="s">
        <v>1028</v>
      </c>
    </row>
    <row r="161" spans="1:6" x14ac:dyDescent="0.25">
      <c r="A161" s="180" t="s">
        <v>1028</v>
      </c>
      <c r="E161" s="180" t="s">
        <v>475</v>
      </c>
      <c r="F161" s="181" t="s">
        <v>1029</v>
      </c>
    </row>
    <row r="162" spans="1:6" x14ac:dyDescent="0.25">
      <c r="A162" s="180" t="s">
        <v>1029</v>
      </c>
      <c r="E162" s="180" t="s">
        <v>1030</v>
      </c>
      <c r="F162" s="181" t="s">
        <v>1031</v>
      </c>
    </row>
    <row r="163" spans="1:6" x14ac:dyDescent="0.25">
      <c r="A163" s="180" t="s">
        <v>1031</v>
      </c>
      <c r="E163" s="180" t="s">
        <v>1032</v>
      </c>
      <c r="F163" s="181" t="s">
        <v>1033</v>
      </c>
    </row>
    <row r="164" spans="1:6" x14ac:dyDescent="0.25">
      <c r="A164" s="180" t="s">
        <v>1033</v>
      </c>
      <c r="E164" s="180" t="s">
        <v>476</v>
      </c>
      <c r="F164" s="181" t="s">
        <v>1034</v>
      </c>
    </row>
    <row r="165" spans="1:6" x14ac:dyDescent="0.25">
      <c r="A165" s="180" t="s">
        <v>1034</v>
      </c>
      <c r="E165" s="180" t="s">
        <v>1035</v>
      </c>
      <c r="F165" s="181" t="s">
        <v>1036</v>
      </c>
    </row>
    <row r="166" spans="1:6" x14ac:dyDescent="0.25">
      <c r="A166" s="180" t="s">
        <v>1036</v>
      </c>
      <c r="E166" s="180" t="s">
        <v>477</v>
      </c>
      <c r="F166" s="181" t="s">
        <v>1037</v>
      </c>
    </row>
    <row r="167" spans="1:6" x14ac:dyDescent="0.25">
      <c r="A167" s="180" t="s">
        <v>1037</v>
      </c>
      <c r="E167" s="180" t="s">
        <v>1038</v>
      </c>
      <c r="F167" s="181" t="s">
        <v>1039</v>
      </c>
    </row>
    <row r="168" spans="1:6" x14ac:dyDescent="0.25">
      <c r="A168" s="180" t="s">
        <v>1039</v>
      </c>
      <c r="E168" s="180" t="s">
        <v>478</v>
      </c>
      <c r="F168" s="181" t="s">
        <v>1040</v>
      </c>
    </row>
    <row r="169" spans="1:6" x14ac:dyDescent="0.25">
      <c r="A169" s="180" t="s">
        <v>1040</v>
      </c>
      <c r="E169" s="180" t="s">
        <v>479</v>
      </c>
      <c r="F169" s="181" t="s">
        <v>1041</v>
      </c>
    </row>
    <row r="170" spans="1:6" x14ac:dyDescent="0.25">
      <c r="A170" s="180" t="s">
        <v>1041</v>
      </c>
      <c r="E170" s="180" t="s">
        <v>480</v>
      </c>
      <c r="F170" s="181" t="s">
        <v>1042</v>
      </c>
    </row>
    <row r="171" spans="1:6" x14ac:dyDescent="0.25">
      <c r="A171" s="180" t="s">
        <v>1042</v>
      </c>
      <c r="E171" s="180" t="s">
        <v>482</v>
      </c>
      <c r="F171" s="181" t="s">
        <v>1043</v>
      </c>
    </row>
    <row r="172" spans="1:6" x14ac:dyDescent="0.25">
      <c r="A172" s="180" t="s">
        <v>1043</v>
      </c>
      <c r="E172" s="180" t="s">
        <v>483</v>
      </c>
      <c r="F172" s="181" t="s">
        <v>1044</v>
      </c>
    </row>
    <row r="173" spans="1:6" x14ac:dyDescent="0.25">
      <c r="A173" s="180" t="s">
        <v>1044</v>
      </c>
      <c r="E173" s="180" t="s">
        <v>484</v>
      </c>
      <c r="F173" s="181" t="s">
        <v>1045</v>
      </c>
    </row>
    <row r="174" spans="1:6" x14ac:dyDescent="0.25">
      <c r="A174" s="180" t="s">
        <v>1045</v>
      </c>
      <c r="E174" s="180" t="s">
        <v>485</v>
      </c>
      <c r="F174" s="181" t="s">
        <v>1046</v>
      </c>
    </row>
    <row r="175" spans="1:6" x14ac:dyDescent="0.25">
      <c r="A175" s="180" t="s">
        <v>1046</v>
      </c>
      <c r="E175" s="180" t="s">
        <v>486</v>
      </c>
      <c r="F175" s="181" t="s">
        <v>1047</v>
      </c>
    </row>
    <row r="176" spans="1:6" x14ac:dyDescent="0.25">
      <c r="A176" s="180" t="s">
        <v>1047</v>
      </c>
      <c r="E176" s="180" t="s">
        <v>1048</v>
      </c>
      <c r="F176" s="181" t="s">
        <v>1049</v>
      </c>
    </row>
    <row r="177" spans="1:6" x14ac:dyDescent="0.25">
      <c r="A177" s="180" t="s">
        <v>1049</v>
      </c>
      <c r="E177" s="180" t="s">
        <v>487</v>
      </c>
      <c r="F177" s="181" t="s">
        <v>1050</v>
      </c>
    </row>
    <row r="178" spans="1:6" x14ac:dyDescent="0.25">
      <c r="A178" s="180" t="s">
        <v>1050</v>
      </c>
      <c r="E178" s="180" t="s">
        <v>488</v>
      </c>
      <c r="F178" s="181" t="s">
        <v>1051</v>
      </c>
    </row>
    <row r="179" spans="1:6" x14ac:dyDescent="0.25">
      <c r="A179" s="180" t="s">
        <v>1052</v>
      </c>
      <c r="E179" s="180" t="s">
        <v>1053</v>
      </c>
      <c r="F179" s="181" t="s">
        <v>1054</v>
      </c>
    </row>
    <row r="180" spans="1:6" x14ac:dyDescent="0.25">
      <c r="A180" s="180" t="s">
        <v>1054</v>
      </c>
      <c r="E180" s="180" t="s">
        <v>489</v>
      </c>
      <c r="F180" s="181" t="s">
        <v>1055</v>
      </c>
    </row>
    <row r="181" spans="1:6" x14ac:dyDescent="0.25">
      <c r="A181" s="180" t="s">
        <v>1055</v>
      </c>
      <c r="E181" s="180" t="s">
        <v>1056</v>
      </c>
      <c r="F181" s="181" t="s">
        <v>1057</v>
      </c>
    </row>
    <row r="182" spans="1:6" x14ac:dyDescent="0.25">
      <c r="A182" s="180" t="s">
        <v>1058</v>
      </c>
      <c r="E182" s="180" t="s">
        <v>1059</v>
      </c>
      <c r="F182" s="181" t="s">
        <v>1060</v>
      </c>
    </row>
    <row r="183" spans="1:6" x14ac:dyDescent="0.25">
      <c r="A183" s="180" t="s">
        <v>1060</v>
      </c>
      <c r="E183" s="180" t="s">
        <v>1061</v>
      </c>
      <c r="F183" s="181" t="s">
        <v>1062</v>
      </c>
    </row>
    <row r="184" spans="1:6" x14ac:dyDescent="0.25">
      <c r="A184" s="180" t="s">
        <v>1062</v>
      </c>
      <c r="E184" s="180" t="s">
        <v>490</v>
      </c>
      <c r="F184" s="181" t="s">
        <v>1063</v>
      </c>
    </row>
    <row r="185" spans="1:6" x14ac:dyDescent="0.25">
      <c r="A185" s="180" t="s">
        <v>1063</v>
      </c>
      <c r="E185" s="180" t="s">
        <v>491</v>
      </c>
      <c r="F185" s="181" t="s">
        <v>1064</v>
      </c>
    </row>
    <row r="186" spans="1:6" x14ac:dyDescent="0.25">
      <c r="A186" s="180" t="s">
        <v>1064</v>
      </c>
      <c r="E186" s="180" t="s">
        <v>492</v>
      </c>
      <c r="F186" s="181" t="s">
        <v>1065</v>
      </c>
    </row>
    <row r="187" spans="1:6" x14ac:dyDescent="0.25">
      <c r="A187" s="180" t="s">
        <v>1066</v>
      </c>
      <c r="E187" s="180" t="s">
        <v>1067</v>
      </c>
      <c r="F187" s="181" t="s">
        <v>1068</v>
      </c>
    </row>
    <row r="188" spans="1:6" x14ac:dyDescent="0.25">
      <c r="A188" s="180" t="s">
        <v>1069</v>
      </c>
      <c r="E188" s="180" t="s">
        <v>1070</v>
      </c>
      <c r="F188" s="181" t="s">
        <v>1071</v>
      </c>
    </row>
    <row r="189" spans="1:6" x14ac:dyDescent="0.25">
      <c r="A189" s="180" t="s">
        <v>1071</v>
      </c>
      <c r="E189" s="180" t="s">
        <v>1072</v>
      </c>
      <c r="F189" s="181" t="s">
        <v>1073</v>
      </c>
    </row>
    <row r="190" spans="1:6" x14ac:dyDescent="0.25">
      <c r="A190" s="180" t="s">
        <v>1074</v>
      </c>
      <c r="E190" s="180" t="s">
        <v>494</v>
      </c>
      <c r="F190" s="181" t="s">
        <v>1075</v>
      </c>
    </row>
    <row r="191" spans="1:6" x14ac:dyDescent="0.25">
      <c r="A191" s="180" t="s">
        <v>1075</v>
      </c>
      <c r="E191" s="180" t="s">
        <v>1076</v>
      </c>
      <c r="F191" s="181" t="s">
        <v>1077</v>
      </c>
    </row>
    <row r="192" spans="1:6" x14ac:dyDescent="0.25">
      <c r="A192" s="180" t="s">
        <v>1077</v>
      </c>
      <c r="E192" s="180" t="s">
        <v>1078</v>
      </c>
      <c r="F192" s="181" t="s">
        <v>1079</v>
      </c>
    </row>
    <row r="193" spans="1:8" x14ac:dyDescent="0.25">
      <c r="A193" s="180" t="s">
        <v>1079</v>
      </c>
      <c r="E193" s="180" t="s">
        <v>1080</v>
      </c>
      <c r="F193" s="181" t="s">
        <v>1081</v>
      </c>
    </row>
    <row r="194" spans="1:8" x14ac:dyDescent="0.25">
      <c r="A194" s="180" t="s">
        <v>1081</v>
      </c>
      <c r="E194" s="180" t="s">
        <v>1082</v>
      </c>
      <c r="F194" s="181" t="s">
        <v>1083</v>
      </c>
    </row>
    <row r="195" spans="1:8" x14ac:dyDescent="0.25">
      <c r="A195" s="180" t="s">
        <v>1083</v>
      </c>
      <c r="E195" s="180" t="s">
        <v>497</v>
      </c>
      <c r="F195" s="181" t="s">
        <v>1084</v>
      </c>
    </row>
    <row r="196" spans="1:8" x14ac:dyDescent="0.25">
      <c r="A196" s="180" t="s">
        <v>1084</v>
      </c>
      <c r="E196" s="180" t="s">
        <v>1085</v>
      </c>
      <c r="F196" s="181" t="s">
        <v>1086</v>
      </c>
    </row>
    <row r="197" spans="1:8" x14ac:dyDescent="0.25">
      <c r="A197" s="180" t="s">
        <v>1086</v>
      </c>
      <c r="E197" s="180" t="s">
        <v>499</v>
      </c>
      <c r="F197" s="181" t="s">
        <v>1087</v>
      </c>
    </row>
    <row r="198" spans="1:8" x14ac:dyDescent="0.25">
      <c r="A198" s="180" t="s">
        <v>1087</v>
      </c>
      <c r="E198" s="180" t="s">
        <v>500</v>
      </c>
      <c r="F198" s="181" t="s">
        <v>1088</v>
      </c>
    </row>
    <row r="199" spans="1:8" x14ac:dyDescent="0.25">
      <c r="A199" s="180" t="s">
        <v>1088</v>
      </c>
      <c r="E199" s="180" t="s">
        <v>501</v>
      </c>
      <c r="F199" s="181" t="s">
        <v>1089</v>
      </c>
    </row>
    <row r="200" spans="1:8" x14ac:dyDescent="0.25">
      <c r="A200" s="180" t="s">
        <v>1090</v>
      </c>
      <c r="E200" s="180" t="s">
        <v>502</v>
      </c>
      <c r="F200" s="181" t="s">
        <v>1091</v>
      </c>
    </row>
    <row r="201" spans="1:8" x14ac:dyDescent="0.25">
      <c r="A201" s="180" t="s">
        <v>1092</v>
      </c>
      <c r="E201" s="180" t="s">
        <v>503</v>
      </c>
      <c r="F201" s="181" t="s">
        <v>1093</v>
      </c>
    </row>
    <row r="202" spans="1:8" x14ac:dyDescent="0.25">
      <c r="A202" s="180" t="s">
        <v>1094</v>
      </c>
      <c r="E202" s="180" t="s">
        <v>504</v>
      </c>
      <c r="F202" s="181" t="s">
        <v>1095</v>
      </c>
    </row>
    <row r="203" spans="1:8" x14ac:dyDescent="0.25">
      <c r="A203" s="180" t="s">
        <v>1096</v>
      </c>
      <c r="E203" s="180" t="s">
        <v>506</v>
      </c>
      <c r="F203" s="181" t="s">
        <v>1097</v>
      </c>
    </row>
    <row r="204" spans="1:8" x14ac:dyDescent="0.25">
      <c r="A204" s="180" t="s">
        <v>1098</v>
      </c>
      <c r="E204" s="180" t="s">
        <v>507</v>
      </c>
      <c r="F204" s="181" t="s">
        <v>1099</v>
      </c>
    </row>
    <row r="205" spans="1:8" x14ac:dyDescent="0.25">
      <c r="A205" s="180" t="s">
        <v>1100</v>
      </c>
      <c r="E205" s="180" t="s">
        <v>508</v>
      </c>
      <c r="F205" s="181" t="s">
        <v>1101</v>
      </c>
    </row>
    <row r="206" spans="1:8" x14ac:dyDescent="0.25">
      <c r="A206" s="180" t="s">
        <v>1102</v>
      </c>
      <c r="E206" s="180" t="s">
        <v>509</v>
      </c>
      <c r="F206" s="181" t="s">
        <v>1103</v>
      </c>
      <c r="H206" s="181" t="s">
        <v>747</v>
      </c>
    </row>
    <row r="207" spans="1:8" x14ac:dyDescent="0.25">
      <c r="A207" s="180" t="s">
        <v>1104</v>
      </c>
      <c r="E207" s="180" t="s">
        <v>510</v>
      </c>
      <c r="F207" s="181" t="s">
        <v>1090</v>
      </c>
      <c r="H207" s="181" t="s">
        <v>740</v>
      </c>
    </row>
    <row r="208" spans="1:8" x14ac:dyDescent="0.25">
      <c r="A208" s="180" t="s">
        <v>1105</v>
      </c>
      <c r="E208" s="180" t="s">
        <v>1106</v>
      </c>
      <c r="F208" s="181" t="s">
        <v>1092</v>
      </c>
    </row>
    <row r="209" spans="1:6" x14ac:dyDescent="0.25">
      <c r="A209" s="180" t="s">
        <v>1107</v>
      </c>
      <c r="E209" s="180" t="s">
        <v>511</v>
      </c>
      <c r="F209" s="181" t="s">
        <v>1094</v>
      </c>
    </row>
    <row r="210" spans="1:6" x14ac:dyDescent="0.25">
      <c r="A210" s="180" t="s">
        <v>1108</v>
      </c>
      <c r="E210" s="180" t="s">
        <v>512</v>
      </c>
      <c r="F210" s="181" t="s">
        <v>1096</v>
      </c>
    </row>
    <row r="211" spans="1:6" x14ac:dyDescent="0.25">
      <c r="A211" s="180" t="s">
        <v>1109</v>
      </c>
      <c r="E211" s="180" t="s">
        <v>1110</v>
      </c>
      <c r="F211" s="181" t="s">
        <v>1098</v>
      </c>
    </row>
    <row r="212" spans="1:6" x14ac:dyDescent="0.25">
      <c r="A212" s="180" t="s">
        <v>1111</v>
      </c>
      <c r="E212" s="180" t="s">
        <v>514</v>
      </c>
      <c r="F212" s="181" t="s">
        <v>1100</v>
      </c>
    </row>
    <row r="213" spans="1:6" x14ac:dyDescent="0.25">
      <c r="A213" s="180" t="s">
        <v>1112</v>
      </c>
      <c r="E213" s="180" t="s">
        <v>515</v>
      </c>
      <c r="F213" s="181" t="s">
        <v>1113</v>
      </c>
    </row>
    <row r="214" spans="1:6" x14ac:dyDescent="0.25">
      <c r="A214" s="180" t="s">
        <v>1114</v>
      </c>
      <c r="E214" s="180" t="s">
        <v>516</v>
      </c>
      <c r="F214" s="181" t="s">
        <v>1104</v>
      </c>
    </row>
    <row r="215" spans="1:6" x14ac:dyDescent="0.25">
      <c r="A215" s="180" t="s">
        <v>1115</v>
      </c>
      <c r="E215" s="180" t="s">
        <v>1116</v>
      </c>
      <c r="F215" s="181" t="s">
        <v>1105</v>
      </c>
    </row>
    <row r="216" spans="1:6" x14ac:dyDescent="0.25">
      <c r="A216" s="180" t="s">
        <v>1117</v>
      </c>
      <c r="E216" s="180" t="s">
        <v>1118</v>
      </c>
      <c r="F216" s="181" t="s">
        <v>1107</v>
      </c>
    </row>
    <row r="217" spans="1:6" x14ac:dyDescent="0.25">
      <c r="A217" s="180" t="s">
        <v>1117</v>
      </c>
      <c r="E217" s="180" t="s">
        <v>518</v>
      </c>
      <c r="F217" s="181" t="s">
        <v>1108</v>
      </c>
    </row>
    <row r="218" spans="1:6" x14ac:dyDescent="0.25">
      <c r="A218" s="180" t="s">
        <v>1119</v>
      </c>
      <c r="E218" s="180" t="s">
        <v>519</v>
      </c>
      <c r="F218" s="181" t="s">
        <v>1109</v>
      </c>
    </row>
    <row r="219" spans="1:6" x14ac:dyDescent="0.25">
      <c r="A219" s="180" t="s">
        <v>1120</v>
      </c>
      <c r="E219" s="180" t="s">
        <v>520</v>
      </c>
      <c r="F219" s="181" t="s">
        <v>1111</v>
      </c>
    </row>
    <row r="220" spans="1:6" x14ac:dyDescent="0.25">
      <c r="A220" s="180" t="s">
        <v>1121</v>
      </c>
      <c r="E220" s="180" t="s">
        <v>521</v>
      </c>
      <c r="F220" s="181" t="s">
        <v>1112</v>
      </c>
    </row>
    <row r="221" spans="1:6" x14ac:dyDescent="0.25">
      <c r="A221" s="180" t="s">
        <v>1122</v>
      </c>
      <c r="E221" s="180" t="s">
        <v>522</v>
      </c>
      <c r="F221" s="181" t="s">
        <v>1114</v>
      </c>
    </row>
    <row r="222" spans="1:6" x14ac:dyDescent="0.25">
      <c r="A222" s="180" t="s">
        <v>1123</v>
      </c>
      <c r="E222" s="180" t="s">
        <v>523</v>
      </c>
      <c r="F222" s="181" t="s">
        <v>1115</v>
      </c>
    </row>
    <row r="223" spans="1:6" x14ac:dyDescent="0.25">
      <c r="A223" s="180" t="s">
        <v>1124</v>
      </c>
      <c r="E223" s="180" t="s">
        <v>1125</v>
      </c>
      <c r="F223" s="181" t="s">
        <v>1117</v>
      </c>
    </row>
    <row r="224" spans="1:6" x14ac:dyDescent="0.25">
      <c r="A224" s="180" t="s">
        <v>1126</v>
      </c>
      <c r="E224" s="180" t="s">
        <v>1127</v>
      </c>
      <c r="F224" s="181" t="s">
        <v>1117</v>
      </c>
    </row>
    <row r="225" spans="1:6" x14ac:dyDescent="0.25">
      <c r="A225" s="180" t="s">
        <v>1128</v>
      </c>
      <c r="E225" s="180" t="s">
        <v>1129</v>
      </c>
      <c r="F225" s="181" t="s">
        <v>1119</v>
      </c>
    </row>
    <row r="226" spans="1:6" x14ac:dyDescent="0.25">
      <c r="A226" s="180" t="s">
        <v>1130</v>
      </c>
      <c r="E226" s="180" t="s">
        <v>526</v>
      </c>
      <c r="F226" s="181" t="s">
        <v>1120</v>
      </c>
    </row>
    <row r="227" spans="1:6" x14ac:dyDescent="0.25">
      <c r="A227" s="180" t="s">
        <v>1131</v>
      </c>
      <c r="E227" s="180" t="s">
        <v>1132</v>
      </c>
      <c r="F227" s="181" t="s">
        <v>1121</v>
      </c>
    </row>
    <row r="228" spans="1:6" x14ac:dyDescent="0.25">
      <c r="A228" s="180" t="s">
        <v>1133</v>
      </c>
      <c r="E228" s="180" t="s">
        <v>527</v>
      </c>
      <c r="F228" s="181" t="s">
        <v>1122</v>
      </c>
    </row>
    <row r="229" spans="1:6" x14ac:dyDescent="0.25">
      <c r="A229" s="180" t="s">
        <v>1134</v>
      </c>
      <c r="E229" s="180" t="s">
        <v>1135</v>
      </c>
      <c r="F229" s="181" t="s">
        <v>1123</v>
      </c>
    </row>
    <row r="230" spans="1:6" x14ac:dyDescent="0.25">
      <c r="A230" s="180" t="s">
        <v>1136</v>
      </c>
      <c r="E230" s="180" t="s">
        <v>529</v>
      </c>
      <c r="F230" s="181" t="s">
        <v>1124</v>
      </c>
    </row>
    <row r="231" spans="1:6" x14ac:dyDescent="0.25">
      <c r="A231" s="180" t="s">
        <v>1137</v>
      </c>
      <c r="E231" s="180" t="s">
        <v>530</v>
      </c>
      <c r="F231" s="181" t="s">
        <v>1126</v>
      </c>
    </row>
    <row r="232" spans="1:6" x14ac:dyDescent="0.25">
      <c r="A232" s="180" t="s">
        <v>1138</v>
      </c>
      <c r="E232" s="180" t="s">
        <v>531</v>
      </c>
      <c r="F232" s="181" t="s">
        <v>1128</v>
      </c>
    </row>
    <row r="233" spans="1:6" x14ac:dyDescent="0.25">
      <c r="A233" s="180" t="s">
        <v>1139</v>
      </c>
      <c r="E233" s="180" t="s">
        <v>1140</v>
      </c>
      <c r="F233" s="181" t="s">
        <v>1130</v>
      </c>
    </row>
    <row r="234" spans="1:6" x14ac:dyDescent="0.25">
      <c r="A234" s="180" t="s">
        <v>1141</v>
      </c>
      <c r="E234" s="180" t="s">
        <v>532</v>
      </c>
      <c r="F234" s="181" t="s">
        <v>1131</v>
      </c>
    </row>
    <row r="235" spans="1:6" x14ac:dyDescent="0.25">
      <c r="A235" s="180" t="s">
        <v>1142</v>
      </c>
      <c r="E235" s="180" t="s">
        <v>1143</v>
      </c>
      <c r="F235" s="181" t="s">
        <v>1133</v>
      </c>
    </row>
    <row r="236" spans="1:6" x14ac:dyDescent="0.25">
      <c r="A236" s="180" t="s">
        <v>1144</v>
      </c>
      <c r="E236" s="180" t="s">
        <v>533</v>
      </c>
      <c r="F236" s="181" t="s">
        <v>1134</v>
      </c>
    </row>
    <row r="237" spans="1:6" x14ac:dyDescent="0.25">
      <c r="A237" s="180" t="s">
        <v>1145</v>
      </c>
      <c r="E237" s="180" t="s">
        <v>534</v>
      </c>
      <c r="F237" s="181" t="s">
        <v>1136</v>
      </c>
    </row>
    <row r="238" spans="1:6" x14ac:dyDescent="0.25">
      <c r="A238" s="180" t="s">
        <v>1146</v>
      </c>
      <c r="E238" s="180" t="s">
        <v>535</v>
      </c>
      <c r="F238" s="181" t="s">
        <v>1137</v>
      </c>
    </row>
    <row r="239" spans="1:6" x14ac:dyDescent="0.25">
      <c r="A239" s="180" t="s">
        <v>1147</v>
      </c>
      <c r="E239" s="180" t="s">
        <v>536</v>
      </c>
      <c r="F239" s="181" t="s">
        <v>1138</v>
      </c>
    </row>
    <row r="240" spans="1:6" x14ac:dyDescent="0.25">
      <c r="A240" s="180" t="s">
        <v>1148</v>
      </c>
      <c r="E240" s="180" t="s">
        <v>1149</v>
      </c>
      <c r="F240" s="181" t="s">
        <v>1139</v>
      </c>
    </row>
    <row r="241" spans="1:6" x14ac:dyDescent="0.25">
      <c r="A241" s="180" t="s">
        <v>1150</v>
      </c>
      <c r="E241" s="180" t="s">
        <v>1151</v>
      </c>
      <c r="F241" s="181" t="s">
        <v>1141</v>
      </c>
    </row>
    <row r="242" spans="1:6" x14ac:dyDescent="0.25">
      <c r="A242" s="180" t="s">
        <v>1152</v>
      </c>
      <c r="E242" s="180" t="s">
        <v>537</v>
      </c>
      <c r="F242" s="181" t="s">
        <v>1142</v>
      </c>
    </row>
    <row r="243" spans="1:6" x14ac:dyDescent="0.25">
      <c r="A243" s="180" t="s">
        <v>1153</v>
      </c>
      <c r="E243" s="180" t="s">
        <v>538</v>
      </c>
      <c r="F243" s="181" t="s">
        <v>1144</v>
      </c>
    </row>
    <row r="244" spans="1:6" x14ac:dyDescent="0.25">
      <c r="A244" s="180" t="s">
        <v>1154</v>
      </c>
      <c r="E244" s="180" t="s">
        <v>539</v>
      </c>
      <c r="F244" s="181" t="s">
        <v>1145</v>
      </c>
    </row>
    <row r="245" spans="1:6" x14ac:dyDescent="0.25">
      <c r="A245" s="180" t="s">
        <v>1155</v>
      </c>
      <c r="E245" s="180" t="s">
        <v>540</v>
      </c>
      <c r="F245" s="181" t="s">
        <v>1146</v>
      </c>
    </row>
    <row r="246" spans="1:6" x14ac:dyDescent="0.25">
      <c r="A246" s="180" t="s">
        <v>1156</v>
      </c>
      <c r="E246" s="180" t="s">
        <v>541</v>
      </c>
      <c r="F246" s="181" t="s">
        <v>1147</v>
      </c>
    </row>
    <row r="247" spans="1:6" x14ac:dyDescent="0.25">
      <c r="A247" s="180" t="s">
        <v>1157</v>
      </c>
      <c r="E247" s="180" t="s">
        <v>1158</v>
      </c>
      <c r="F247" s="181" t="s">
        <v>1148</v>
      </c>
    </row>
    <row r="248" spans="1:6" x14ac:dyDescent="0.25">
      <c r="A248" s="180" t="s">
        <v>1159</v>
      </c>
      <c r="E248" s="180" t="s">
        <v>1160</v>
      </c>
      <c r="F248" s="181" t="s">
        <v>1150</v>
      </c>
    </row>
    <row r="249" spans="1:6" x14ac:dyDescent="0.25">
      <c r="A249" s="180" t="s">
        <v>1161</v>
      </c>
      <c r="E249" s="180" t="s">
        <v>542</v>
      </c>
      <c r="F249" s="181" t="s">
        <v>1152</v>
      </c>
    </row>
    <row r="250" spans="1:6" x14ac:dyDescent="0.25">
      <c r="A250" s="180" t="s">
        <v>1162</v>
      </c>
      <c r="E250" s="180" t="s">
        <v>543</v>
      </c>
      <c r="F250" s="181" t="s">
        <v>1153</v>
      </c>
    </row>
    <row r="251" spans="1:6" x14ac:dyDescent="0.25">
      <c r="A251" s="180" t="s">
        <v>1163</v>
      </c>
      <c r="E251" s="180" t="s">
        <v>1164</v>
      </c>
      <c r="F251" s="181" t="s">
        <v>1154</v>
      </c>
    </row>
    <row r="252" spans="1:6" x14ac:dyDescent="0.25">
      <c r="A252" s="180" t="s">
        <v>1165</v>
      </c>
      <c r="F252" s="181" t="s">
        <v>1155</v>
      </c>
    </row>
    <row r="253" spans="1:6" x14ac:dyDescent="0.25">
      <c r="A253" s="180" t="s">
        <v>1166</v>
      </c>
      <c r="F253" s="181" t="s">
        <v>1156</v>
      </c>
    </row>
    <row r="254" spans="1:6" x14ac:dyDescent="0.25">
      <c r="A254" s="180" t="s">
        <v>1167</v>
      </c>
      <c r="F254" s="181" t="s">
        <v>1157</v>
      </c>
    </row>
    <row r="255" spans="1:6" x14ac:dyDescent="0.25">
      <c r="A255" s="180" t="s">
        <v>1168</v>
      </c>
      <c r="F255" s="181" t="s">
        <v>1159</v>
      </c>
    </row>
    <row r="256" spans="1:6" x14ac:dyDescent="0.25">
      <c r="A256" s="180" t="s">
        <v>1169</v>
      </c>
      <c r="F256" s="181" t="s">
        <v>1161</v>
      </c>
    </row>
    <row r="257" spans="1:6" x14ac:dyDescent="0.25">
      <c r="A257" s="180" t="s">
        <v>1170</v>
      </c>
      <c r="F257" s="181" t="s">
        <v>1162</v>
      </c>
    </row>
    <row r="258" spans="1:6" x14ac:dyDescent="0.25">
      <c r="A258" s="180" t="s">
        <v>1171</v>
      </c>
      <c r="F258" s="181" t="s">
        <v>1163</v>
      </c>
    </row>
    <row r="259" spans="1:6" x14ac:dyDescent="0.25">
      <c r="A259" s="180" t="s">
        <v>1172</v>
      </c>
      <c r="F259" s="181" t="s">
        <v>1165</v>
      </c>
    </row>
    <row r="260" spans="1:6" x14ac:dyDescent="0.25">
      <c r="A260" s="180" t="s">
        <v>1173</v>
      </c>
      <c r="F260" s="181" t="s">
        <v>1166</v>
      </c>
    </row>
    <row r="261" spans="1:6" x14ac:dyDescent="0.25">
      <c r="A261" s="180" t="s">
        <v>1174</v>
      </c>
      <c r="F261" s="181" t="s">
        <v>1167</v>
      </c>
    </row>
    <row r="262" spans="1:6" x14ac:dyDescent="0.25">
      <c r="A262" s="180" t="s">
        <v>1175</v>
      </c>
      <c r="F262" s="181" t="s">
        <v>1168</v>
      </c>
    </row>
    <row r="263" spans="1:6" x14ac:dyDescent="0.25">
      <c r="A263" s="180" t="s">
        <v>1176</v>
      </c>
      <c r="F263" s="181" t="s">
        <v>1169</v>
      </c>
    </row>
    <row r="264" spans="1:6" x14ac:dyDescent="0.25">
      <c r="A264" s="180" t="s">
        <v>1177</v>
      </c>
      <c r="F264" s="181" t="s">
        <v>1170</v>
      </c>
    </row>
    <row r="265" spans="1:6" x14ac:dyDescent="0.25">
      <c r="A265" s="180" t="s">
        <v>1178</v>
      </c>
      <c r="F265" s="181" t="s">
        <v>1171</v>
      </c>
    </row>
    <row r="266" spans="1:6" x14ac:dyDescent="0.25">
      <c r="A266" s="180" t="s">
        <v>1179</v>
      </c>
      <c r="F266" s="181" t="s">
        <v>1172</v>
      </c>
    </row>
    <row r="267" spans="1:6" x14ac:dyDescent="0.25">
      <c r="A267" s="180" t="s">
        <v>1180</v>
      </c>
      <c r="F267" s="181" t="s">
        <v>1173</v>
      </c>
    </row>
    <row r="268" spans="1:6" x14ac:dyDescent="0.25">
      <c r="A268" s="180" t="s">
        <v>1181</v>
      </c>
      <c r="F268" s="181" t="s">
        <v>1174</v>
      </c>
    </row>
    <row r="269" spans="1:6" x14ac:dyDescent="0.25">
      <c r="A269" s="180" t="s">
        <v>1182</v>
      </c>
      <c r="F269" s="181" t="s">
        <v>1175</v>
      </c>
    </row>
    <row r="270" spans="1:6" x14ac:dyDescent="0.25">
      <c r="A270" s="180" t="s">
        <v>1183</v>
      </c>
      <c r="F270" s="181" t="s">
        <v>1176</v>
      </c>
    </row>
    <row r="271" spans="1:6" x14ac:dyDescent="0.25">
      <c r="A271" s="180" t="s">
        <v>1184</v>
      </c>
      <c r="F271" s="181" t="s">
        <v>1177</v>
      </c>
    </row>
    <row r="272" spans="1:6" x14ac:dyDescent="0.25">
      <c r="A272" s="180" t="s">
        <v>1185</v>
      </c>
      <c r="F272" s="181" t="s">
        <v>1178</v>
      </c>
    </row>
    <row r="273" spans="1:6" x14ac:dyDescent="0.25">
      <c r="A273" s="180" t="s">
        <v>1186</v>
      </c>
      <c r="F273" s="181" t="s">
        <v>1179</v>
      </c>
    </row>
    <row r="274" spans="1:6" x14ac:dyDescent="0.25">
      <c r="A274" s="180" t="s">
        <v>1187</v>
      </c>
      <c r="F274" s="181" t="s">
        <v>1180</v>
      </c>
    </row>
    <row r="275" spans="1:6" x14ac:dyDescent="0.25">
      <c r="A275" s="180" t="s">
        <v>1188</v>
      </c>
      <c r="F275" s="181" t="s">
        <v>1181</v>
      </c>
    </row>
    <row r="276" spans="1:6" x14ac:dyDescent="0.25">
      <c r="A276" s="180" t="s">
        <v>1189</v>
      </c>
      <c r="F276" s="181" t="s">
        <v>1182</v>
      </c>
    </row>
    <row r="277" spans="1:6" x14ac:dyDescent="0.25">
      <c r="A277" s="180" t="s">
        <v>1190</v>
      </c>
      <c r="F277" s="181" t="s">
        <v>1183</v>
      </c>
    </row>
    <row r="278" spans="1:6" x14ac:dyDescent="0.25">
      <c r="A278" s="180" t="s">
        <v>1191</v>
      </c>
      <c r="F278" s="181" t="s">
        <v>1184</v>
      </c>
    </row>
    <row r="279" spans="1:6" x14ac:dyDescent="0.25">
      <c r="A279" s="180" t="s">
        <v>1192</v>
      </c>
      <c r="F279" s="181" t="s">
        <v>1185</v>
      </c>
    </row>
    <row r="280" spans="1:6" x14ac:dyDescent="0.25">
      <c r="A280" s="180" t="s">
        <v>1193</v>
      </c>
      <c r="F280" s="181" t="s">
        <v>1186</v>
      </c>
    </row>
    <row r="281" spans="1:6" x14ac:dyDescent="0.25">
      <c r="A281" s="180" t="s">
        <v>1194</v>
      </c>
      <c r="F281" s="181" t="s">
        <v>1187</v>
      </c>
    </row>
    <row r="282" spans="1:6" x14ac:dyDescent="0.25">
      <c r="A282" s="180" t="s">
        <v>1195</v>
      </c>
      <c r="F282" s="181" t="s">
        <v>1188</v>
      </c>
    </row>
    <row r="283" spans="1:6" x14ac:dyDescent="0.25">
      <c r="A283" s="180" t="s">
        <v>1196</v>
      </c>
      <c r="F283" s="181" t="s">
        <v>1189</v>
      </c>
    </row>
    <row r="284" spans="1:6" x14ac:dyDescent="0.25">
      <c r="A284" s="180" t="s">
        <v>1197</v>
      </c>
      <c r="F284" s="181" t="s">
        <v>1190</v>
      </c>
    </row>
    <row r="285" spans="1:6" x14ac:dyDescent="0.25">
      <c r="A285" s="180" t="s">
        <v>1198</v>
      </c>
      <c r="F285" s="181" t="s">
        <v>1191</v>
      </c>
    </row>
    <row r="286" spans="1:6" x14ac:dyDescent="0.25">
      <c r="A286" s="180" t="s">
        <v>1199</v>
      </c>
      <c r="F286" s="181" t="s">
        <v>1192</v>
      </c>
    </row>
    <row r="287" spans="1:6" x14ac:dyDescent="0.25">
      <c r="A287" s="180" t="s">
        <v>1200</v>
      </c>
      <c r="F287" s="181" t="s">
        <v>1193</v>
      </c>
    </row>
    <row r="288" spans="1:6" x14ac:dyDescent="0.25">
      <c r="A288" s="180" t="s">
        <v>1201</v>
      </c>
      <c r="F288" s="181" t="s">
        <v>1194</v>
      </c>
    </row>
    <row r="289" spans="1:6" x14ac:dyDescent="0.25">
      <c r="A289" s="180" t="s">
        <v>1202</v>
      </c>
      <c r="F289" s="181" t="s">
        <v>1195</v>
      </c>
    </row>
    <row r="290" spans="1:6" x14ac:dyDescent="0.25">
      <c r="A290" s="180" t="s">
        <v>1203</v>
      </c>
      <c r="F290" s="181" t="s">
        <v>1196</v>
      </c>
    </row>
    <row r="291" spans="1:6" x14ac:dyDescent="0.25">
      <c r="A291" s="180" t="s">
        <v>1204</v>
      </c>
      <c r="F291" s="181" t="s">
        <v>1197</v>
      </c>
    </row>
    <row r="292" spans="1:6" x14ac:dyDescent="0.25">
      <c r="A292" s="180" t="s">
        <v>1205</v>
      </c>
      <c r="F292" s="181" t="s">
        <v>1198</v>
      </c>
    </row>
    <row r="293" spans="1:6" x14ac:dyDescent="0.25">
      <c r="A293" s="180" t="s">
        <v>1206</v>
      </c>
      <c r="F293" s="181" t="s">
        <v>1199</v>
      </c>
    </row>
    <row r="294" spans="1:6" x14ac:dyDescent="0.25">
      <c r="A294" s="180" t="s">
        <v>1207</v>
      </c>
      <c r="F294" s="181" t="s">
        <v>1200</v>
      </c>
    </row>
    <row r="295" spans="1:6" x14ac:dyDescent="0.25">
      <c r="A295" s="180" t="s">
        <v>1208</v>
      </c>
      <c r="F295" s="181" t="s">
        <v>1201</v>
      </c>
    </row>
    <row r="296" spans="1:6" x14ac:dyDescent="0.25">
      <c r="A296" s="180" t="s">
        <v>1209</v>
      </c>
      <c r="F296" s="181" t="s">
        <v>1202</v>
      </c>
    </row>
    <row r="297" spans="1:6" x14ac:dyDescent="0.25">
      <c r="A297" s="180" t="s">
        <v>1210</v>
      </c>
      <c r="F297" s="181" t="s">
        <v>1203</v>
      </c>
    </row>
    <row r="298" spans="1:6" x14ac:dyDescent="0.25">
      <c r="A298" s="180" t="s">
        <v>1211</v>
      </c>
      <c r="F298" s="181" t="s">
        <v>1204</v>
      </c>
    </row>
    <row r="299" spans="1:6" x14ac:dyDescent="0.25">
      <c r="A299" s="180" t="s">
        <v>1212</v>
      </c>
      <c r="F299" s="181" t="s">
        <v>1205</v>
      </c>
    </row>
    <row r="300" spans="1:6" x14ac:dyDescent="0.25">
      <c r="A300" s="180" t="s">
        <v>1213</v>
      </c>
      <c r="F300" s="181" t="s">
        <v>1206</v>
      </c>
    </row>
    <row r="301" spans="1:6" x14ac:dyDescent="0.25">
      <c r="A301" s="180" t="s">
        <v>1214</v>
      </c>
      <c r="F301" s="181" t="s">
        <v>1207</v>
      </c>
    </row>
    <row r="302" spans="1:6" x14ac:dyDescent="0.25">
      <c r="A302" s="180" t="s">
        <v>1215</v>
      </c>
      <c r="F302" s="181" t="s">
        <v>1208</v>
      </c>
    </row>
    <row r="303" spans="1:6" x14ac:dyDescent="0.25">
      <c r="A303" s="180" t="s">
        <v>1216</v>
      </c>
      <c r="F303" s="181" t="s">
        <v>1209</v>
      </c>
    </row>
    <row r="304" spans="1:6" x14ac:dyDescent="0.25">
      <c r="A304" s="180" t="s">
        <v>1217</v>
      </c>
      <c r="F304" s="181" t="s">
        <v>1210</v>
      </c>
    </row>
    <row r="305" spans="1:6" x14ac:dyDescent="0.25">
      <c r="A305" s="180" t="s">
        <v>1218</v>
      </c>
      <c r="F305" s="181" t="s">
        <v>1211</v>
      </c>
    </row>
    <row r="306" spans="1:6" x14ac:dyDescent="0.25">
      <c r="A306" s="180" t="s">
        <v>1219</v>
      </c>
      <c r="F306" s="181" t="s">
        <v>1212</v>
      </c>
    </row>
    <row r="307" spans="1:6" x14ac:dyDescent="0.25">
      <c r="A307" s="180" t="s">
        <v>1220</v>
      </c>
      <c r="F307" s="181" t="s">
        <v>1213</v>
      </c>
    </row>
    <row r="308" spans="1:6" x14ac:dyDescent="0.25">
      <c r="A308" s="180" t="s">
        <v>1221</v>
      </c>
      <c r="F308" s="181" t="s">
        <v>1214</v>
      </c>
    </row>
    <row r="309" spans="1:6" x14ac:dyDescent="0.25">
      <c r="A309" s="180" t="s">
        <v>1222</v>
      </c>
      <c r="F309" s="181" t="s">
        <v>1215</v>
      </c>
    </row>
    <row r="310" spans="1:6" x14ac:dyDescent="0.25">
      <c r="A310" s="180" t="s">
        <v>1223</v>
      </c>
      <c r="F310" s="181" t="s">
        <v>1216</v>
      </c>
    </row>
    <row r="311" spans="1:6" x14ac:dyDescent="0.25">
      <c r="A311" s="180" t="s">
        <v>1224</v>
      </c>
      <c r="F311" s="181" t="s">
        <v>1217</v>
      </c>
    </row>
    <row r="312" spans="1:6" x14ac:dyDescent="0.25">
      <c r="A312" s="180" t="s">
        <v>1225</v>
      </c>
      <c r="F312" s="181" t="s">
        <v>1218</v>
      </c>
    </row>
    <row r="313" spans="1:6" x14ac:dyDescent="0.25">
      <c r="A313" s="180" t="s">
        <v>1226</v>
      </c>
      <c r="F313" s="181" t="s">
        <v>1219</v>
      </c>
    </row>
    <row r="314" spans="1:6" x14ac:dyDescent="0.25">
      <c r="A314" s="180" t="s">
        <v>1227</v>
      </c>
      <c r="F314" s="181" t="s">
        <v>1220</v>
      </c>
    </row>
    <row r="315" spans="1:6" x14ac:dyDescent="0.25">
      <c r="A315" s="180" t="s">
        <v>1228</v>
      </c>
      <c r="F315" s="181" t="s">
        <v>1221</v>
      </c>
    </row>
    <row r="316" spans="1:6" x14ac:dyDescent="0.25">
      <c r="A316" s="180" t="s">
        <v>1229</v>
      </c>
      <c r="F316" s="181" t="s">
        <v>1222</v>
      </c>
    </row>
    <row r="317" spans="1:6" x14ac:dyDescent="0.25">
      <c r="A317" s="180" t="s">
        <v>1230</v>
      </c>
      <c r="F317" s="181" t="s">
        <v>1223</v>
      </c>
    </row>
    <row r="318" spans="1:6" x14ac:dyDescent="0.25">
      <c r="A318" s="180" t="s">
        <v>1231</v>
      </c>
      <c r="F318" s="181" t="s">
        <v>1224</v>
      </c>
    </row>
    <row r="319" spans="1:6" x14ac:dyDescent="0.25">
      <c r="A319" s="180" t="s">
        <v>1232</v>
      </c>
      <c r="F319" s="181" t="s">
        <v>1225</v>
      </c>
    </row>
    <row r="320" spans="1:6" x14ac:dyDescent="0.25">
      <c r="A320" s="180" t="s">
        <v>1233</v>
      </c>
      <c r="F320" s="181" t="s">
        <v>1226</v>
      </c>
    </row>
    <row r="321" spans="1:6" x14ac:dyDescent="0.25">
      <c r="A321" s="180" t="s">
        <v>1234</v>
      </c>
      <c r="F321" s="181" t="s">
        <v>1227</v>
      </c>
    </row>
    <row r="322" spans="1:6" x14ac:dyDescent="0.25">
      <c r="A322" s="180" t="s">
        <v>1235</v>
      </c>
      <c r="F322" s="181" t="s">
        <v>1228</v>
      </c>
    </row>
    <row r="323" spans="1:6" x14ac:dyDescent="0.25">
      <c r="A323" s="180" t="s">
        <v>1236</v>
      </c>
      <c r="F323" s="181" t="s">
        <v>1229</v>
      </c>
    </row>
    <row r="324" spans="1:6" x14ac:dyDescent="0.25">
      <c r="A324" s="180" t="s">
        <v>1237</v>
      </c>
      <c r="F324" s="181" t="s">
        <v>1230</v>
      </c>
    </row>
    <row r="325" spans="1:6" x14ac:dyDescent="0.25">
      <c r="A325" s="180" t="s">
        <v>1238</v>
      </c>
      <c r="F325" s="181" t="s">
        <v>1231</v>
      </c>
    </row>
    <row r="326" spans="1:6" x14ac:dyDescent="0.25">
      <c r="A326" s="180" t="s">
        <v>1239</v>
      </c>
      <c r="F326" s="181" t="s">
        <v>1232</v>
      </c>
    </row>
    <row r="327" spans="1:6" x14ac:dyDescent="0.25">
      <c r="A327" s="180" t="s">
        <v>1240</v>
      </c>
      <c r="F327" s="181" t="s">
        <v>1233</v>
      </c>
    </row>
    <row r="328" spans="1:6" x14ac:dyDescent="0.25">
      <c r="A328" s="180" t="s">
        <v>1241</v>
      </c>
      <c r="F328" s="181" t="s">
        <v>1234</v>
      </c>
    </row>
    <row r="329" spans="1:6" x14ac:dyDescent="0.25">
      <c r="A329" s="180" t="s">
        <v>1242</v>
      </c>
      <c r="F329" s="181" t="s">
        <v>1235</v>
      </c>
    </row>
    <row r="330" spans="1:6" x14ac:dyDescent="0.25">
      <c r="A330" s="180" t="s">
        <v>1243</v>
      </c>
      <c r="F330" s="181" t="s">
        <v>1236</v>
      </c>
    </row>
    <row r="331" spans="1:6" x14ac:dyDescent="0.25">
      <c r="A331" s="180" t="s">
        <v>1244</v>
      </c>
      <c r="F331" s="181" t="s">
        <v>1237</v>
      </c>
    </row>
    <row r="332" spans="1:6" x14ac:dyDescent="0.25">
      <c r="A332" s="180" t="s">
        <v>1245</v>
      </c>
      <c r="F332" s="181" t="s">
        <v>1238</v>
      </c>
    </row>
    <row r="333" spans="1:6" x14ac:dyDescent="0.25">
      <c r="A333" s="180" t="s">
        <v>1246</v>
      </c>
      <c r="F333" s="181" t="s">
        <v>1239</v>
      </c>
    </row>
    <row r="334" spans="1:6" x14ac:dyDescent="0.25">
      <c r="A334" s="180" t="s">
        <v>1247</v>
      </c>
      <c r="F334" s="181" t="s">
        <v>1240</v>
      </c>
    </row>
    <row r="335" spans="1:6" x14ac:dyDescent="0.25">
      <c r="A335" s="180" t="s">
        <v>1248</v>
      </c>
      <c r="F335" s="181" t="s">
        <v>1241</v>
      </c>
    </row>
    <row r="336" spans="1:6" x14ac:dyDescent="0.25">
      <c r="A336" s="180" t="s">
        <v>1249</v>
      </c>
      <c r="F336" s="181" t="s">
        <v>1242</v>
      </c>
    </row>
    <row r="337" spans="1:6" x14ac:dyDescent="0.25">
      <c r="A337" s="180" t="s">
        <v>1250</v>
      </c>
      <c r="F337" s="181" t="s">
        <v>1243</v>
      </c>
    </row>
    <row r="338" spans="1:6" x14ac:dyDescent="0.25">
      <c r="A338" s="180" t="s">
        <v>1251</v>
      </c>
      <c r="F338" s="181" t="s">
        <v>1244</v>
      </c>
    </row>
    <row r="339" spans="1:6" x14ac:dyDescent="0.25">
      <c r="A339" s="180" t="s">
        <v>1252</v>
      </c>
      <c r="F339" s="181" t="s">
        <v>1245</v>
      </c>
    </row>
    <row r="340" spans="1:6" x14ac:dyDescent="0.25">
      <c r="A340" s="180" t="s">
        <v>1253</v>
      </c>
      <c r="F340" s="181" t="s">
        <v>1246</v>
      </c>
    </row>
    <row r="341" spans="1:6" x14ac:dyDescent="0.25">
      <c r="A341" s="180" t="s">
        <v>1254</v>
      </c>
      <c r="F341" s="181" t="s">
        <v>1247</v>
      </c>
    </row>
    <row r="342" spans="1:6" x14ac:dyDescent="0.25">
      <c r="A342" s="180" t="s">
        <v>1255</v>
      </c>
      <c r="F342" s="181" t="s">
        <v>1248</v>
      </c>
    </row>
    <row r="343" spans="1:6" x14ac:dyDescent="0.25">
      <c r="A343" s="180" t="s">
        <v>1256</v>
      </c>
      <c r="F343" s="181" t="s">
        <v>1249</v>
      </c>
    </row>
    <row r="344" spans="1:6" x14ac:dyDescent="0.25">
      <c r="A344" s="180" t="s">
        <v>1257</v>
      </c>
      <c r="F344" s="181" t="s">
        <v>1250</v>
      </c>
    </row>
    <row r="345" spans="1:6" x14ac:dyDescent="0.25">
      <c r="A345" s="180" t="s">
        <v>1258</v>
      </c>
      <c r="F345" s="181" t="s">
        <v>1251</v>
      </c>
    </row>
    <row r="346" spans="1:6" x14ac:dyDescent="0.25">
      <c r="A346" s="180" t="s">
        <v>1259</v>
      </c>
      <c r="F346" s="181" t="s">
        <v>1252</v>
      </c>
    </row>
    <row r="347" spans="1:6" x14ac:dyDescent="0.25">
      <c r="A347" s="180" t="s">
        <v>1260</v>
      </c>
      <c r="F347" s="181" t="s">
        <v>1253</v>
      </c>
    </row>
    <row r="348" spans="1:6" x14ac:dyDescent="0.25">
      <c r="A348" s="180" t="s">
        <v>1261</v>
      </c>
      <c r="F348" s="181" t="s">
        <v>1254</v>
      </c>
    </row>
    <row r="349" spans="1:6" x14ac:dyDescent="0.25">
      <c r="A349" s="180" t="s">
        <v>1262</v>
      </c>
      <c r="F349" s="181" t="s">
        <v>1255</v>
      </c>
    </row>
    <row r="350" spans="1:6" x14ac:dyDescent="0.25">
      <c r="A350" s="180" t="s">
        <v>1263</v>
      </c>
      <c r="F350" s="181" t="s">
        <v>1256</v>
      </c>
    </row>
    <row r="351" spans="1:6" x14ac:dyDescent="0.25">
      <c r="A351" s="180" t="s">
        <v>1264</v>
      </c>
      <c r="F351" s="181" t="s">
        <v>1257</v>
      </c>
    </row>
    <row r="352" spans="1:6" x14ac:dyDescent="0.25">
      <c r="A352" s="180" t="s">
        <v>1265</v>
      </c>
      <c r="F352" s="181" t="s">
        <v>1258</v>
      </c>
    </row>
    <row r="353" spans="1:6" x14ac:dyDescent="0.25">
      <c r="A353" s="180" t="s">
        <v>1266</v>
      </c>
      <c r="F353" s="181" t="s">
        <v>1259</v>
      </c>
    </row>
    <row r="354" spans="1:6" x14ac:dyDescent="0.25">
      <c r="A354" s="180" t="s">
        <v>1267</v>
      </c>
      <c r="F354" s="181" t="s">
        <v>1260</v>
      </c>
    </row>
    <row r="355" spans="1:6" x14ac:dyDescent="0.25">
      <c r="A355" s="180" t="s">
        <v>1268</v>
      </c>
      <c r="F355" s="181" t="s">
        <v>1261</v>
      </c>
    </row>
    <row r="356" spans="1:6" x14ac:dyDescent="0.25">
      <c r="A356" s="180" t="s">
        <v>1269</v>
      </c>
      <c r="F356" s="181" t="s">
        <v>1262</v>
      </c>
    </row>
    <row r="357" spans="1:6" x14ac:dyDescent="0.25">
      <c r="A357" s="180" t="s">
        <v>1270</v>
      </c>
      <c r="F357" s="181" t="s">
        <v>1263</v>
      </c>
    </row>
    <row r="358" spans="1:6" x14ac:dyDescent="0.25">
      <c r="A358" s="180" t="s">
        <v>1271</v>
      </c>
      <c r="F358" s="181" t="s">
        <v>1264</v>
      </c>
    </row>
    <row r="359" spans="1:6" x14ac:dyDescent="0.25">
      <c r="A359" s="180" t="s">
        <v>1272</v>
      </c>
      <c r="F359" s="181" t="s">
        <v>1265</v>
      </c>
    </row>
    <row r="360" spans="1:6" x14ac:dyDescent="0.25">
      <c r="A360" s="180" t="s">
        <v>1273</v>
      </c>
      <c r="F360" s="181" t="s">
        <v>1266</v>
      </c>
    </row>
    <row r="361" spans="1:6" x14ac:dyDescent="0.25">
      <c r="A361" s="180" t="s">
        <v>1274</v>
      </c>
      <c r="F361" s="181" t="s">
        <v>1267</v>
      </c>
    </row>
    <row r="362" spans="1:6" x14ac:dyDescent="0.25">
      <c r="A362" s="180" t="s">
        <v>1275</v>
      </c>
      <c r="F362" s="181" t="s">
        <v>1268</v>
      </c>
    </row>
    <row r="363" spans="1:6" x14ac:dyDescent="0.25">
      <c r="A363" s="180" t="s">
        <v>1276</v>
      </c>
      <c r="F363" s="181" t="s">
        <v>1269</v>
      </c>
    </row>
    <row r="364" spans="1:6" x14ac:dyDescent="0.25">
      <c r="A364" s="180" t="s">
        <v>1277</v>
      </c>
      <c r="F364" s="181" t="s">
        <v>1270</v>
      </c>
    </row>
    <row r="365" spans="1:6" x14ac:dyDescent="0.25">
      <c r="A365" t="s">
        <v>757</v>
      </c>
      <c r="F365" s="181" t="s">
        <v>1271</v>
      </c>
    </row>
    <row r="366" spans="1:6" x14ac:dyDescent="0.25">
      <c r="A366" t="s">
        <v>768</v>
      </c>
      <c r="F366" s="181" t="s">
        <v>1272</v>
      </c>
    </row>
    <row r="367" spans="1:6" x14ac:dyDescent="0.25">
      <c r="A367" t="s">
        <v>773</v>
      </c>
      <c r="F367" s="181" t="s">
        <v>1273</v>
      </c>
    </row>
    <row r="368" spans="1:6" x14ac:dyDescent="0.25">
      <c r="A368" t="s">
        <v>779</v>
      </c>
      <c r="F368" s="181" t="s">
        <v>1274</v>
      </c>
    </row>
    <row r="369" spans="1:6" x14ac:dyDescent="0.25">
      <c r="A369" t="s">
        <v>784</v>
      </c>
      <c r="F369" s="181" t="s">
        <v>1275</v>
      </c>
    </row>
    <row r="370" spans="1:6" x14ac:dyDescent="0.25">
      <c r="A370" t="s">
        <v>789</v>
      </c>
      <c r="F370" s="181" t="s">
        <v>1276</v>
      </c>
    </row>
    <row r="371" spans="1:6" x14ac:dyDescent="0.25">
      <c r="A371" t="s">
        <v>792</v>
      </c>
      <c r="F371" s="181" t="s">
        <v>1277</v>
      </c>
    </row>
    <row r="372" spans="1:6" x14ac:dyDescent="0.25">
      <c r="A372" t="s">
        <v>795</v>
      </c>
      <c r="F372" t="s">
        <v>757</v>
      </c>
    </row>
    <row r="373" spans="1:6" x14ac:dyDescent="0.25">
      <c r="A373" t="s">
        <v>798</v>
      </c>
      <c r="F373" t="s">
        <v>768</v>
      </c>
    </row>
    <row r="374" spans="1:6" x14ac:dyDescent="0.25">
      <c r="A374" t="s">
        <v>801</v>
      </c>
      <c r="F374" t="s">
        <v>773</v>
      </c>
    </row>
    <row r="375" spans="1:6" x14ac:dyDescent="0.25">
      <c r="A375" t="s">
        <v>804</v>
      </c>
      <c r="F375" t="s">
        <v>779</v>
      </c>
    </row>
    <row r="376" spans="1:6" x14ac:dyDescent="0.25">
      <c r="A376" t="s">
        <v>807</v>
      </c>
      <c r="F376" t="s">
        <v>784</v>
      </c>
    </row>
    <row r="377" spans="1:6" x14ac:dyDescent="0.25">
      <c r="A377" t="s">
        <v>811</v>
      </c>
      <c r="F377" t="s">
        <v>789</v>
      </c>
    </row>
    <row r="378" spans="1:6" x14ac:dyDescent="0.25">
      <c r="A378" t="s">
        <v>814</v>
      </c>
      <c r="F378" t="s">
        <v>792</v>
      </c>
    </row>
    <row r="379" spans="1:6" x14ac:dyDescent="0.25">
      <c r="A379" t="s">
        <v>817</v>
      </c>
      <c r="F379" t="s">
        <v>795</v>
      </c>
    </row>
    <row r="380" spans="1:6" x14ac:dyDescent="0.25">
      <c r="A380" t="s">
        <v>820</v>
      </c>
      <c r="F380" t="s">
        <v>798</v>
      </c>
    </row>
    <row r="381" spans="1:6" x14ac:dyDescent="0.25">
      <c r="A381" t="s">
        <v>823</v>
      </c>
      <c r="F381" t="s">
        <v>801</v>
      </c>
    </row>
    <row r="382" spans="1:6" x14ac:dyDescent="0.25">
      <c r="A382" t="s">
        <v>826</v>
      </c>
      <c r="F382" t="s">
        <v>804</v>
      </c>
    </row>
    <row r="383" spans="1:6" x14ac:dyDescent="0.25">
      <c r="F383" t="s">
        <v>807</v>
      </c>
    </row>
    <row r="384" spans="1:6" x14ac:dyDescent="0.25">
      <c r="F384" t="s">
        <v>811</v>
      </c>
    </row>
    <row r="385" spans="6:6" x14ac:dyDescent="0.25">
      <c r="F385" t="s">
        <v>814</v>
      </c>
    </row>
    <row r="386" spans="6:6" x14ac:dyDescent="0.25">
      <c r="F386" t="s">
        <v>817</v>
      </c>
    </row>
    <row r="387" spans="6:6" x14ac:dyDescent="0.25">
      <c r="F387" t="s">
        <v>820</v>
      </c>
    </row>
    <row r="388" spans="6:6" x14ac:dyDescent="0.25">
      <c r="F388" t="s">
        <v>823</v>
      </c>
    </row>
    <row r="389" spans="6:6" x14ac:dyDescent="0.25">
      <c r="F389" t="s">
        <v>826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56A3484039AEB7498182B1B70DE5EA7A" ma:contentTypeVersion="2" ma:contentTypeDescription="Create a new document." ma:contentTypeScope="" ma:versionID="fb0c0f447e5e14102ea005909cd6d61e">
  <xsd:schema xmlns:xsd="http://www.w3.org/2001/XMLSchema" xmlns:xs="http://www.w3.org/2001/XMLSchema" xmlns:p="http://schemas.microsoft.com/office/2006/metadata/properties" xmlns:ns2="0280757d-37fe-447a-94a4-d00c1eb2ad0e" xmlns:ns3="88257910-139c-40c3-a811-51826a36139d" targetNamespace="http://schemas.microsoft.com/office/2006/metadata/properties" ma:root="true" ma:fieldsID="6b7161f382e075cabd7eedfa57d5e57d" ns2:_="" ns3:_="">
    <xsd:import namespace="0280757d-37fe-447a-94a4-d00c1eb2ad0e"/>
    <xsd:import namespace="88257910-139c-40c3-a811-51826a36139d"/>
    <xsd:element name="properties">
      <xsd:complexType>
        <xsd:sequence>
          <xsd:element name="documentManagement">
            <xsd:complexType>
              <xsd:all>
                <xsd:element ref="ns2:_dlc_DocId" minOccurs="0"/>
                <xsd:element ref="ns2:_dlc_DocIdUrl" minOccurs="0"/>
                <xsd:element ref="ns2:_dlc_DocIdPersistId" minOccurs="0"/>
                <xsd:element ref="ns3:LockedVersions" minOccurs="0"/>
                <xsd:element ref="ns3:AdvancedVersioningLimi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80757d-37fe-447a-94a4-d00c1eb2ad0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8257910-139c-40c3-a811-51826a36139d" elementFormDefault="qualified">
    <xsd:import namespace="http://schemas.microsoft.com/office/2006/documentManagement/types"/>
    <xsd:import namespace="http://schemas.microsoft.com/office/infopath/2007/PartnerControls"/>
    <xsd:element name="LockedVersions" ma:index="11" nillable="true" ma:displayName="LockedVersions" ma:hidden="true" ma:internalName="LockedVersions">
      <xsd:simpleType>
        <xsd:restriction base="dms:Text"/>
      </xsd:simpleType>
    </xsd:element>
    <xsd:element name="AdvancedVersioningLimit" ma:index="12" nillable="true" ma:displayName="AdvancedVersioningLimit" ma:hidden="true" ma:internalName="AdvancedVersioningLimit">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0280757d-37fe-447a-94a4-d00c1eb2ad0e">PTEC2HVDMWAY-4637-419</_dlc_DocId>
    <_dlc_DocIdUrl xmlns="0280757d-37fe-447a-94a4-d00c1eb2ad0e">
      <Url>https://sp2013.myatos.net/organization/gf/hr/IMEA/India/_layouts/15/DocIdRedir.aspx?ID=PTEC2HVDMWAY-4637-419</Url>
      <Description>PTEC2HVDMWAY-4637-419</Description>
    </_dlc_DocIdUrl>
    <LockedVersions xmlns="88257910-139c-40c3-a811-51826a36139d" xsi:nil="true"/>
    <AdvancedVersioningLimit xmlns="88257910-139c-40c3-a811-51826a36139d"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549596-F4D2-4DE1-9C22-9363F52E5CD8}">
  <ds:schemaRefs>
    <ds:schemaRef ds:uri="http://schemas.microsoft.com/sharepoint/events"/>
  </ds:schemaRefs>
</ds:datastoreItem>
</file>

<file path=customXml/itemProps2.xml><?xml version="1.0" encoding="utf-8"?>
<ds:datastoreItem xmlns:ds="http://schemas.openxmlformats.org/officeDocument/2006/customXml" ds:itemID="{525BBE83-49A8-426A-B3DB-C793CF8BEA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80757d-37fe-447a-94a4-d00c1eb2ad0e"/>
    <ds:schemaRef ds:uri="88257910-139c-40c3-a811-51826a3613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7A9A0C-AB66-4CB4-BAA4-E96892494F15}">
  <ds:schemaRefs>
    <ds:schemaRef ds:uri="http://schemas.microsoft.com/office/2006/metadata/properties"/>
    <ds:schemaRef ds:uri="http://schemas.microsoft.com/office/infopath/2007/PartnerControls"/>
    <ds:schemaRef ds:uri="0280757d-37fe-447a-94a4-d00c1eb2ad0e"/>
    <ds:schemaRef ds:uri="88257910-139c-40c3-a811-51826a36139d"/>
  </ds:schemaRefs>
</ds:datastoreItem>
</file>

<file path=customXml/itemProps4.xml><?xml version="1.0" encoding="utf-8"?>
<ds:datastoreItem xmlns:ds="http://schemas.openxmlformats.org/officeDocument/2006/customXml" ds:itemID="{38925577-0B97-4BCD-8158-BD1C857526B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Process and FAQ (2)</vt:lpstr>
      <vt:lpstr>Process and FAQ</vt:lpstr>
      <vt:lpstr>1. Employee - Personal  Data</vt:lpstr>
      <vt:lpstr>2. Business - Project details</vt:lpstr>
      <vt:lpstr>3. Travel Notification </vt:lpstr>
      <vt:lpstr>Version Control</vt:lpstr>
      <vt:lpstr>Final List</vt:lpstr>
      <vt:lpstr>Menus </vt:lpstr>
      <vt:lpstr>Indian Payroll Data</vt:lpstr>
      <vt:lpstr>PBS &amp; CP input </vt:lpstr>
      <vt:lpstr>For US ONLY</vt:lpstr>
      <vt:lpstr>Sheet1</vt:lpstr>
      <vt:lpstr>'1. Employee - Personal  Data'!Print_Area</vt:lpstr>
      <vt:lpstr>'2. Business - Project details'!Print_Area</vt:lpstr>
      <vt:lpstr>'3. Travel Notification '!Print_Area</vt:lpstr>
    </vt:vector>
  </TitlesOfParts>
  <Manager/>
  <Company>Atos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EDS Version 1.0 Work Assignment Travel</dc:title>
  <dc:subject/>
  <dc:creator>Marie Truchassou</dc:creator>
  <cp:keywords/>
  <dc:description/>
  <cp:lastModifiedBy>Pratap Visrodia</cp:lastModifiedBy>
  <cp:revision/>
  <dcterms:created xsi:type="dcterms:W3CDTF">2014-11-03T09:50:25Z</dcterms:created>
  <dcterms:modified xsi:type="dcterms:W3CDTF">2023-09-27T07:02:49Z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0x01010056A3484039AEB7498182B1B70DE5EA7A</vt:lpwstr>
  </property>
  <property fmtid="{D5CDD505-2E9C-101B-9397-08002B2CF9AE}" pid="3" name="_dlc_DocIdItemGuid">
    <vt:lpwstr>a0f1b380-3264-44c3-b7c9-a1508a44263d</vt:lpwstr>
  </property>
  <property fmtid="{D5CDD505-2E9C-101B-9397-08002B2CF9AE}" pid="5" name="_NewReviewCycle">
    <vt:lpwstr/>
  </property>
  <property fmtid="{D5CDD505-2E9C-101B-9397-08002B2CF9AE}" pid="11" name="MSIP_Label_e463cba9-5f6c-478d-9329-7b2295e4e8ed_Enabled">
    <vt:lpwstr>true</vt:lpwstr>
  </property>
  <property fmtid="{D5CDD505-2E9C-101B-9397-08002B2CF9AE}" pid="12" name="MSIP_Label_e463cba9-5f6c-478d-9329-7b2295e4e8ed_SetDate">
    <vt:lpwstr>2021-03-17T13:02:04Z</vt:lpwstr>
  </property>
  <property fmtid="{D5CDD505-2E9C-101B-9397-08002B2CF9AE}" pid="13" name="MSIP_Label_e463cba9-5f6c-478d-9329-7b2295e4e8ed_Method">
    <vt:lpwstr>Standard</vt:lpwstr>
  </property>
  <property fmtid="{D5CDD505-2E9C-101B-9397-08002B2CF9AE}" pid="14" name="MSIP_Label_e463cba9-5f6c-478d-9329-7b2295e4e8ed_Name">
    <vt:lpwstr>All Employees_2</vt:lpwstr>
  </property>
  <property fmtid="{D5CDD505-2E9C-101B-9397-08002B2CF9AE}" pid="15" name="MSIP_Label_e463cba9-5f6c-478d-9329-7b2295e4e8ed_SiteId">
    <vt:lpwstr>33440fc6-b7c7-412c-bb73-0e70b0198d5a</vt:lpwstr>
  </property>
  <property fmtid="{D5CDD505-2E9C-101B-9397-08002B2CF9AE}" pid="16" name="MSIP_Label_e463cba9-5f6c-478d-9329-7b2295e4e8ed_ActionId">
    <vt:lpwstr>cdaea9ef-b942-4f05-9950-56cacc2ff3db</vt:lpwstr>
  </property>
  <property fmtid="{D5CDD505-2E9C-101B-9397-08002B2CF9AE}" pid="17" name="MSIP_Label_e463cba9-5f6c-478d-9329-7b2295e4e8ed_ContentBits">
    <vt:lpwstr>0</vt:lpwstr>
  </property>
</Properties>
</file>